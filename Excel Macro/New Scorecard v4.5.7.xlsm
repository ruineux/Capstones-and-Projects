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21656B06-1B9B-AA78-C99D-37B55691406E}"/>
  <workbookPr codeName="ThisWorkbook" defaultThemeVersion="124226"/>
  <mc:AlternateContent xmlns:mc="http://schemas.openxmlformats.org/markup-compatibility/2006">
    <mc:Choice Requires="x15">
      <x15ac:absPath xmlns:x15ac="http://schemas.microsoft.com/office/spreadsheetml/2010/11/ac" url="G:\Downloads\"/>
    </mc:Choice>
  </mc:AlternateContent>
  <xr:revisionPtr revIDLastSave="0" documentId="13_ncr:1_{A49873AF-549B-4159-BB8D-81448F09C57D}" xr6:coauthVersionLast="47" xr6:coauthVersionMax="47" xr10:uidLastSave="{00000000-0000-0000-0000-000000000000}"/>
  <bookViews>
    <workbookView xWindow="-120" yWindow="-120" windowWidth="38640" windowHeight="21120" xr2:uid="{00000000-000D-0000-FFFF-FFFF00000000}"/>
  </bookViews>
  <sheets>
    <sheet name="Scorecard" sheetId="11" r:id="rId1"/>
    <sheet name="Database" sheetId="13" r:id="rId2"/>
    <sheet name="List" sheetId="4" r:id="rId3"/>
    <sheet name="EMAIL" sheetId="9" r:id="rId4"/>
    <sheet name="Pegsheet" sheetId="14" r:id="rId5"/>
    <sheet name="Definitions Document" sheetId="15" r:id="rId6"/>
  </sheets>
  <externalReferences>
    <externalReference r:id="rId7"/>
  </externalReferences>
  <definedNames>
    <definedName name="_xlnm._FilterDatabase" localSheetId="3" hidden="1">EMAIL!$A$1:$E$376</definedName>
    <definedName name="_xlnm._FilterDatabase" localSheetId="0" hidden="1">Scorecard!$B$3:$E$30</definedName>
    <definedName name="AccessC1">List!$BO$2:$BO$10</definedName>
    <definedName name="AccessCode">List!$P$2:$P$24</definedName>
    <definedName name="AccountInformation">List!$P$59:$P$68</definedName>
    <definedName name="AccountS1">List!$BO$12:$BO$16</definedName>
    <definedName name="Activity" localSheetId="5">[1]List!$N$2:$N$8</definedName>
    <definedName name="Activity">List!$N$2:$N$8</definedName>
    <definedName name="AddPlug">List!$P$188:$P$198</definedName>
    <definedName name="AgentName" localSheetId="5">[1]Scorecard!$C$4</definedName>
    <definedName name="AgentName">Scorecard!$C$4</definedName>
    <definedName name="AgentProfile">Scorecard!$J$38</definedName>
    <definedName name="ANI">Scorecard!$C$6</definedName>
    <definedName name="Assignments">List!$P$148:$P$164</definedName>
    <definedName name="BrowserOS">List!$P$200:$P$214</definedName>
    <definedName name="CaseNumber">Scorecard!$C$9</definedName>
    <definedName name="Category" localSheetId="5">[1]List!$L$2:$L$12</definedName>
    <definedName name="Category">List!$L$2:$L$12</definedName>
    <definedName name="Category1">Scorecard!$E$4</definedName>
    <definedName name="Category2">Scorecard!$E$5</definedName>
    <definedName name="Classification">Scorecard!$E$8</definedName>
    <definedName name="ClientProcess1">Scorecard!$D$39</definedName>
    <definedName name="ClientProcess2">Scorecard!$E$39</definedName>
    <definedName name="ContentErrors">List!$P$138:$P$146</definedName>
    <definedName name="CourseManagement">List!$P$122:$P$136</definedName>
    <definedName name="CourseTools">List!$P$85:$P$120</definedName>
    <definedName name="CSATForecast">Scorecard!$J$37</definedName>
    <definedName name="CustomerProfile">Scorecard!$L$38</definedName>
    <definedName name="Discourse1">List!$AJ$26:$AJ$27</definedName>
    <definedName name="Discourse2">List!$AJ$30:$AJ$31</definedName>
    <definedName name="Discourse3">List!$AJ$34</definedName>
    <definedName name="Discourse4">List!$AJ$37</definedName>
    <definedName name="DiscourseMain" localSheetId="5">[1]List!$AJ$20:$AJ$23</definedName>
    <definedName name="DiscourseMain">List!$AJ$20:$AJ$23</definedName>
    <definedName name="Duration">Scorecard!$C$7</definedName>
    <definedName name="Easy1">List!$AH$26:$AH$28</definedName>
    <definedName name="Easy2">List!$AH$31:$AH$34</definedName>
    <definedName name="Easy3">List!$AH$37:$AH$42</definedName>
    <definedName name="EasyMain" localSheetId="5">[1]List!$AH$20:$AH$22</definedName>
    <definedName name="EasyMain">List!$AH$20:$AH$22</definedName>
    <definedName name="Educ1">List!$AD$9:$AD$11</definedName>
    <definedName name="Educ2">List!$AD$16</definedName>
    <definedName name="EducMain" localSheetId="5">[1]List!$AD$5:$AD$6</definedName>
    <definedName name="EducMain">List!$AD$5:$AD$6</definedName>
    <definedName name="EmployeeNum" localSheetId="5">[1]Scorecard!$I$5</definedName>
    <definedName name="EmployeeNum">Scorecard!$I$5</definedName>
    <definedName name="EnrollCourse">List!$P$70:$P$83</definedName>
    <definedName name="Eval">Scorecard!$C$5</definedName>
    <definedName name="EvalDate">Scorecard!$I$7</definedName>
    <definedName name="Evaluator" localSheetId="5">OFFSET([1]List!$H$1,1,1,COUNTA([1]List!$I:$I)-1,1)</definedName>
    <definedName name="Evaluator">OFFSET(List!$H$1,1,1,COUNTA(List!$I:$I)-1,1)</definedName>
    <definedName name="FCRProjection">Scorecard!$J$41</definedName>
    <definedName name="FirstSup">Scorecard!$I$9</definedName>
    <definedName name="Fluency1">List!$AB$44:$AB$46</definedName>
    <definedName name="Fluency2">List!$AB$49</definedName>
    <definedName name="Fluency3">List!$AB$52:$AB$57</definedName>
    <definedName name="FluencyMain" localSheetId="5">[1]List!$AB$39:$AB$41</definedName>
    <definedName name="FluencyMain">List!$AB$39:$AB$41</definedName>
    <definedName name="Gradebook">List!$P$166:$P$186</definedName>
    <definedName name="HigherEd">List!$BI$2:$BI$263</definedName>
    <definedName name="Integ1">Scorecard!$D$40</definedName>
    <definedName name="Integ2">Scorecard!$E$40</definedName>
    <definedName name="Integrity" localSheetId="5">[1]List!$BU$2:$BU$8</definedName>
    <definedName name="Integrity">List!$BU$2:$BU$8</definedName>
    <definedName name="InternalEscal">List!$P$216:$P$224</definedName>
    <definedName name="InternalTools">List!$P$226:$P$246</definedName>
    <definedName name="LearningStudio">List!$BK$2:$BK$880</definedName>
    <definedName name="Listen1">List!$AB$26:$AB$28</definedName>
    <definedName name="Listen2">List!$AB$31:$AB$32</definedName>
    <definedName name="ListenMain" localSheetId="5">[1]List!$AB$20:$AB$21</definedName>
    <definedName name="ListenMain">List!$AB$20:$AB$21</definedName>
    <definedName name="Maturity">Scorecard!$L$37</definedName>
    <definedName name="Monits" localSheetId="5">OFFSET([1]List!$A$1,1,1,COUNTA([1]List!$B:$B)-1,1)</definedName>
    <definedName name="Monits">OFFSET(List!$A$1,1,1,COUNTA(List!$B:$B)-1,1)</definedName>
    <definedName name="Month" localSheetId="5">[1]Scorecard!$P$17</definedName>
    <definedName name="Month">Scorecard!$P$17</definedName>
    <definedName name="MultipleContact">List!$BW$2:$BW$5</definedName>
    <definedName name="MultipleContact1">Scorecard!$J$40</definedName>
    <definedName name="MultipleContact2">Scorecard!$L$40</definedName>
    <definedName name="MultipleContact3">Scorecard!$M$40</definedName>
    <definedName name="OnlinePurchase">List!$P$43:$P$49</definedName>
    <definedName name="Platform">Scorecard!$C$8</definedName>
    <definedName name="_xlnm.Print_Area" localSheetId="0">Scorecard!$C$12:$E$26</definedName>
    <definedName name="Probing1">List!$AF$26</definedName>
    <definedName name="Probing2">List!$AF$29</definedName>
    <definedName name="ProbingMain" localSheetId="5">[1]List!$AF$20:$AF$21</definedName>
    <definedName name="ProbingMain">List!$AF$20:$AF$21</definedName>
    <definedName name="Profile">Scorecard!$I$8</definedName>
    <definedName name="Purchase3rdParty">List!$P$248:$P$257</definedName>
    <definedName name="Quarter">Scorecard!$P$18</definedName>
    <definedName name="RandomCountPress">Scorecard!$P$41</definedName>
    <definedName name="Referrals">List!$P$259:$P$278</definedName>
    <definedName name="ReplaceCode">List!$P$280:$P$291</definedName>
    <definedName name="Reso1">List!$AB$9:$AB$13</definedName>
    <definedName name="Reso2">List!$AB$16</definedName>
    <definedName name="Resolution" localSheetId="5">[1]List!$L$15:$L$22</definedName>
    <definedName name="Resolution">List!$L$15:$L$22</definedName>
    <definedName name="Resolution1">Scorecard!$E$6</definedName>
    <definedName name="Resolution2">Scorecard!$E$7</definedName>
    <definedName name="ResoMain" localSheetId="5">[1]List!$AB$5:$AB$6</definedName>
    <definedName name="ResoMain">List!$AB$5:$AB$6</definedName>
    <definedName name="Sampling" localSheetId="5">OFFSET([1]List!$L$25,1,0,COUNTA([1]List!$L$26:$L$39),1)</definedName>
    <definedName name="Sampling">OFFSET(List!$L$25,1,0,COUNTA(List!$L$26:$L$39),1)</definedName>
    <definedName name="SamplingL1">Scorecard!$I$2</definedName>
    <definedName name="SamplingL2">Scorecard!$I$3</definedName>
    <definedName name="SchoolProd">Scorecard!$E$9</definedName>
    <definedName name="Score_CCEff">Scorecard!$P$5</definedName>
    <definedName name="Score_CEx">Scorecard!$P$10</definedName>
    <definedName name="Score_EffReso">Scorecard!$P$2</definedName>
    <definedName name="Score_Process">Scorecard!$P$14</definedName>
    <definedName name="Score_Sub_CCEff1">Scorecard!$P$6</definedName>
    <definedName name="Score_Sub_CCEff2">Scorecard!$P$7</definedName>
    <definedName name="Score_Sub_CCEff3">Scorecard!$P$8</definedName>
    <definedName name="Score_Sub_CCEff4">Scorecard!$P$9</definedName>
    <definedName name="Score_Sub_CCEff5">Scorecard!$P$11</definedName>
    <definedName name="Score_Sub_CEx1">Scorecard!$P$12</definedName>
    <definedName name="Score_Sub_CEx2">Scorecard!$P$13</definedName>
    <definedName name="Score_Sub_EffReso1">Scorecard!$P$3</definedName>
    <definedName name="Score_Sub_EffReso2">Scorecard!$P$4</definedName>
    <definedName name="Score_Total">Scorecard!$R$6</definedName>
    <definedName name="SecondSup">Scorecard!$I$10</definedName>
    <definedName name="SignInPasswordIssues">List!$P$26:$P$41</definedName>
    <definedName name="SupportType" localSheetId="5">[1]Scorecard!$P$26</definedName>
    <definedName name="SupportType">Scorecard!$P$26</definedName>
    <definedName name="TemporaryAccess">List!$P$51:$P$57</definedName>
    <definedName name="Tenurity">Scorecard!$P$21</definedName>
    <definedName name="Time1">List!$AD$26:$AD$28</definedName>
    <definedName name="Time2">List!$AD$32:$AD$33</definedName>
    <definedName name="TimeMain" localSheetId="5">[1]List!$AD$20:$AD$21</definedName>
    <definedName name="TimeMain">List!$AD$20:$AD$21</definedName>
    <definedName name="Timer">Scorecard!$S$7</definedName>
    <definedName name="ToClear" localSheetId="5">[1]Scorecard!$C$4:$C$9,[1]Scorecard!$E$4:$E$9,[1]Scorecard!$E$14:$F$25,[1]Scorecard!$D$39:$F$40,[1]Scorecard!$I$2:$I$4,[1]Scorecard!$J$14:$K$34,[1]Scorecard!$L$14,[1]Scorecard!$M$14:$M$34,[1]Scorecard!$J$37:$M$41</definedName>
    <definedName name="ToClear">Scorecard!$C$4:$C$9,Scorecard!$E$4:$E$9,Scorecard!$E$14:$F$25,Scorecard!$D$39:$F$40,Scorecard!$I$2:$I$4,Scorecard!$J$14:$K$34,Scorecard!$L$14,Scorecard!$M$14:$M$34,Scorecard!$J$37:$M$41,Scorecard!$K$45:$K$47</definedName>
    <definedName name="Training">List!$P$293:$P$298</definedName>
    <definedName name="TransactionType" localSheetId="5">[1]Scorecard!$I$4</definedName>
    <definedName name="TransactionType">Scorecard!$I$4</definedName>
    <definedName name="TransferredCC1">Scorecard!$J$39</definedName>
    <definedName name="TransferredCC2">Scorecard!$L$39</definedName>
    <definedName name="WaveName">Scorecard!$S$16</definedName>
    <definedName name="Willingness1">List!$AD$42:$AD$43</definedName>
    <definedName name="WillingnessMain" localSheetId="5">[1]List!$AD$39</definedName>
    <definedName name="WillingnessMain">List!$AD$39</definedName>
    <definedName name="WorkWeek" localSheetId="5">[1]Scorecard!$P$16</definedName>
    <definedName name="WorkWeek">Scorecard!$P$16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 i="11" l="1"/>
  <c r="K48" i="11" l="1"/>
  <c r="C25" i="11" l="1"/>
  <c r="P26" i="11" l="1"/>
  <c r="R26" i="11" s="1"/>
  <c r="C18" i="11" l="1"/>
  <c r="P11" i="11" l="1"/>
  <c r="P12" i="11"/>
  <c r="P13" i="11"/>
  <c r="P10" i="11" l="1"/>
  <c r="L20" i="11"/>
  <c r="L19" i="11"/>
  <c r="L18" i="11"/>
  <c r="L17" i="11"/>
  <c r="L16" i="11"/>
  <c r="L15" i="11"/>
  <c r="I14" i="11" l="1"/>
  <c r="P14" i="11" l="1"/>
  <c r="I22" i="11" l="1"/>
  <c r="V13" i="11" l="1"/>
  <c r="V12" i="11"/>
  <c r="V10" i="11"/>
  <c r="V9" i="11"/>
  <c r="V8" i="11"/>
  <c r="V7" i="11"/>
  <c r="V6" i="11"/>
  <c r="V4" i="11"/>
  <c r="V3" i="11"/>
  <c r="D23" i="11" l="1"/>
  <c r="P7" i="11"/>
  <c r="P8" i="11"/>
  <c r="P9" i="11"/>
  <c r="P6" i="11"/>
  <c r="P4" i="11"/>
  <c r="P3" i="11"/>
  <c r="D25" i="11" l="1"/>
  <c r="P5" i="11"/>
  <c r="P2" i="11"/>
  <c r="I10" i="11" l="1"/>
  <c r="I9" i="11"/>
  <c r="I8" i="11"/>
  <c r="P16" i="11"/>
  <c r="P17" i="11" s="1"/>
  <c r="P18" i="11" s="1"/>
  <c r="I5" i="11"/>
  <c r="S16" i="11" s="1"/>
  <c r="P24" i="11" l="1"/>
  <c r="L22" i="11" l="1"/>
  <c r="L23" i="11"/>
  <c r="L24" i="11"/>
  <c r="L25" i="11"/>
  <c r="L26" i="11"/>
  <c r="L27" i="11"/>
  <c r="L3" i="11" l="1"/>
  <c r="L34" i="11" l="1"/>
  <c r="I34" i="11"/>
  <c r="P25" i="11" l="1"/>
  <c r="I15" i="11" l="1"/>
  <c r="I16" i="11"/>
  <c r="I17" i="11"/>
  <c r="I18" i="11"/>
  <c r="I19" i="11"/>
  <c r="I20" i="11"/>
  <c r="L21" i="11"/>
  <c r="I21" i="11" s="1"/>
  <c r="I23" i="11"/>
  <c r="I24" i="11"/>
  <c r="I25" i="11"/>
  <c r="I26" i="11"/>
  <c r="I27" i="11"/>
  <c r="L28" i="11"/>
  <c r="I28" i="11" s="1"/>
  <c r="L29" i="11"/>
  <c r="I29" i="11" s="1"/>
  <c r="L30" i="11"/>
  <c r="I30" i="11" s="1"/>
  <c r="L31" i="11"/>
  <c r="I31" i="11" s="1"/>
  <c r="L32" i="11"/>
  <c r="I32" i="11" s="1"/>
  <c r="L33" i="11"/>
  <c r="I33" i="11" s="1"/>
  <c r="M9" i="11" l="1"/>
  <c r="L9" i="11"/>
  <c r="L8" i="11"/>
  <c r="L7" i="11"/>
  <c r="L6" i="11"/>
  <c r="L5" i="11"/>
  <c r="L4" i="11"/>
  <c r="L10" i="11" l="1"/>
  <c r="D24" i="11" l="1"/>
  <c r="D21" i="11"/>
  <c r="D19" i="11"/>
  <c r="D18" i="11"/>
  <c r="D16" i="11"/>
  <c r="D15" i="11"/>
  <c r="C53" i="14"/>
  <c r="E7" i="14"/>
  <c r="E8" i="14"/>
  <c r="E9" i="14"/>
  <c r="E4"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B3" i="14"/>
  <c r="B5" i="14"/>
  <c r="E5" i="14"/>
  <c r="B6" i="14"/>
  <c r="E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4" i="14"/>
  <c r="P23" i="11"/>
  <c r="I6" i="11"/>
  <c r="P19" i="11" s="1"/>
  <c r="P20" i="11" s="1"/>
  <c r="M8" i="11"/>
  <c r="P22" i="11"/>
  <c r="D20" i="11" l="1"/>
  <c r="D17" i="11"/>
  <c r="R3" i="11" s="1"/>
  <c r="BR11" i="4"/>
  <c r="BS11" i="4" s="1"/>
  <c r="P21" i="11" s="1"/>
  <c r="M5" i="11"/>
  <c r="M7" i="11"/>
  <c r="M6" i="11"/>
  <c r="M4" i="11"/>
  <c r="M3" i="11"/>
  <c r="D14" i="11"/>
  <c r="R2" i="11" s="1"/>
  <c r="M10" i="11" l="1"/>
  <c r="D22" i="11"/>
  <c r="R4" i="11" s="1"/>
  <c r="G2" i="14"/>
  <c r="G17" i="14" s="1"/>
  <c r="G11" i="14" l="1"/>
  <c r="G46" i="14"/>
  <c r="H2" i="14"/>
  <c r="G6" i="14"/>
  <c r="G44" i="14"/>
  <c r="G33" i="14"/>
  <c r="G28" i="14"/>
  <c r="G9" i="14"/>
  <c r="G48" i="14"/>
  <c r="G27" i="14"/>
  <c r="G47" i="14"/>
  <c r="G12" i="14"/>
  <c r="G19" i="14"/>
  <c r="G22" i="14"/>
  <c r="G21" i="14"/>
  <c r="G29" i="14"/>
  <c r="G20" i="14"/>
  <c r="G51" i="14"/>
  <c r="G30" i="14"/>
  <c r="G25" i="14"/>
  <c r="G15" i="14"/>
  <c r="G37" i="14"/>
  <c r="G14" i="14"/>
  <c r="G43" i="14"/>
  <c r="G36" i="14"/>
  <c r="G35" i="14"/>
  <c r="G3" i="14"/>
  <c r="G5" i="14"/>
  <c r="G49" i="14"/>
  <c r="G4" i="14"/>
  <c r="G31" i="14"/>
  <c r="G7" i="14"/>
  <c r="G38" i="14"/>
  <c r="G41" i="14"/>
  <c r="G50" i="14"/>
  <c r="G16" i="14"/>
  <c r="G40" i="14"/>
  <c r="G8" i="14"/>
  <c r="G42" i="14"/>
  <c r="G10" i="14"/>
  <c r="G45" i="14"/>
  <c r="G34" i="14"/>
  <c r="G13" i="14"/>
  <c r="G32" i="14"/>
  <c r="G18" i="14"/>
  <c r="G39" i="14"/>
  <c r="G26" i="14"/>
  <c r="G52" i="14"/>
  <c r="G23" i="14"/>
  <c r="G24" i="14"/>
  <c r="H43" i="14"/>
  <c r="H29" i="14"/>
  <c r="H21" i="14"/>
  <c r="H13" i="14"/>
  <c r="H5" i="14"/>
  <c r="H47" i="14"/>
  <c r="H19" i="14"/>
  <c r="H49" i="14"/>
  <c r="H41" i="14"/>
  <c r="H33" i="14"/>
  <c r="H39" i="14"/>
  <c r="H31" i="14"/>
  <c r="H23" i="14"/>
  <c r="H15" i="14"/>
  <c r="H7" i="14"/>
  <c r="H34" i="14"/>
  <c r="H45" i="14"/>
  <c r="H37" i="14"/>
  <c r="H35" i="14"/>
  <c r="H27" i="14"/>
  <c r="H11" i="14"/>
  <c r="I2" i="14"/>
  <c r="H17" i="14"/>
  <c r="H9" i="14"/>
  <c r="H51" i="14"/>
  <c r="H8" i="14"/>
  <c r="H46" i="14"/>
  <c r="H30" i="14"/>
  <c r="H10" i="14"/>
  <c r="H26" i="14"/>
  <c r="H36" i="14"/>
  <c r="H42" i="14"/>
  <c r="H4" i="14"/>
  <c r="H20" i="14"/>
  <c r="H44" i="14"/>
  <c r="H25" i="14"/>
  <c r="H6" i="14"/>
  <c r="H22" i="14"/>
  <c r="H40" i="14"/>
  <c r="H3" i="14"/>
  <c r="H14" i="14"/>
  <c r="H38" i="14"/>
  <c r="H32" i="14"/>
  <c r="H48" i="14"/>
  <c r="H24" i="14"/>
  <c r="H18" i="14"/>
  <c r="H50" i="14"/>
  <c r="H52" i="14"/>
  <c r="H16" i="14"/>
  <c r="H12" i="14"/>
  <c r="H28" i="14"/>
  <c r="G53" i="14" l="1"/>
  <c r="I43" i="14"/>
  <c r="I45" i="14"/>
  <c r="I37" i="14"/>
  <c r="I29" i="14"/>
  <c r="I21" i="14"/>
  <c r="I13" i="14"/>
  <c r="I5" i="14"/>
  <c r="I51" i="14"/>
  <c r="I27" i="14"/>
  <c r="I19" i="14"/>
  <c r="I11" i="14"/>
  <c r="I34" i="14"/>
  <c r="I40" i="14"/>
  <c r="I8" i="14"/>
  <c r="J2" i="14"/>
  <c r="I35" i="14"/>
  <c r="I4" i="14"/>
  <c r="I47" i="14"/>
  <c r="I25" i="14"/>
  <c r="I17" i="14"/>
  <c r="I9" i="14"/>
  <c r="I39" i="14"/>
  <c r="I23" i="14"/>
  <c r="I15" i="14"/>
  <c r="I7" i="14"/>
  <c r="I50" i="14"/>
  <c r="I42" i="14"/>
  <c r="I32" i="14"/>
  <c r="I24" i="14"/>
  <c r="I16" i="14"/>
  <c r="I3" i="14"/>
  <c r="I48" i="14"/>
  <c r="I14" i="14"/>
  <c r="I20" i="14"/>
  <c r="I18" i="14"/>
  <c r="I12" i="14"/>
  <c r="I33" i="14"/>
  <c r="I6" i="14"/>
  <c r="I31" i="14"/>
  <c r="I46" i="14"/>
  <c r="I52" i="14"/>
  <c r="I28" i="14"/>
  <c r="I41" i="14"/>
  <c r="I22" i="14"/>
  <c r="I44" i="14"/>
  <c r="I38" i="14"/>
  <c r="I36" i="14"/>
  <c r="I26" i="14"/>
  <c r="I10" i="14"/>
  <c r="I49" i="14"/>
  <c r="I30" i="14"/>
  <c r="H53" i="14"/>
  <c r="K2" i="14" l="1"/>
  <c r="J31" i="14"/>
  <c r="J23" i="14"/>
  <c r="J15" i="14"/>
  <c r="J7" i="14"/>
  <c r="J49" i="14"/>
  <c r="J47" i="14"/>
  <c r="J29" i="14"/>
  <c r="J51" i="14"/>
  <c r="J43" i="14"/>
  <c r="J35" i="14"/>
  <c r="J41" i="14"/>
  <c r="J33" i="14"/>
  <c r="J25" i="14"/>
  <c r="J17" i="14"/>
  <c r="J9" i="14"/>
  <c r="J21" i="14"/>
  <c r="J11" i="14"/>
  <c r="J36" i="14"/>
  <c r="J39" i="14"/>
  <c r="J37" i="14"/>
  <c r="J13" i="14"/>
  <c r="J5" i="14"/>
  <c r="J6" i="14"/>
  <c r="J22" i="14"/>
  <c r="J46" i="14"/>
  <c r="J27" i="14"/>
  <c r="J48" i="14"/>
  <c r="J8" i="14"/>
  <c r="J24" i="14"/>
  <c r="J26" i="14"/>
  <c r="J42" i="14"/>
  <c r="J4" i="14"/>
  <c r="J20" i="14"/>
  <c r="J52" i="14"/>
  <c r="J3" i="14"/>
  <c r="J18" i="14"/>
  <c r="J45" i="14"/>
  <c r="J14" i="14"/>
  <c r="J30" i="14"/>
  <c r="J16" i="14"/>
  <c r="J40" i="14"/>
  <c r="J10" i="14"/>
  <c r="J34" i="14"/>
  <c r="J50" i="14"/>
  <c r="J32" i="14"/>
  <c r="J12" i="14"/>
  <c r="J28" i="14"/>
  <c r="J38" i="14"/>
  <c r="J19" i="14"/>
  <c r="J44" i="14"/>
  <c r="I53" i="14"/>
  <c r="J53" i="14" l="1"/>
  <c r="K45" i="14"/>
  <c r="K42" i="14"/>
  <c r="K47" i="14"/>
  <c r="K41" i="14"/>
  <c r="K51" i="14"/>
  <c r="K43" i="14"/>
  <c r="K35" i="14"/>
  <c r="K27" i="14"/>
  <c r="K19" i="14"/>
  <c r="K11" i="14"/>
  <c r="K49" i="14"/>
  <c r="K25" i="14"/>
  <c r="K17" i="14"/>
  <c r="K9" i="14"/>
  <c r="K12" i="14"/>
  <c r="K4" i="14"/>
  <c r="K39" i="14"/>
  <c r="K31" i="14"/>
  <c r="K23" i="14"/>
  <c r="K15" i="14"/>
  <c r="K7" i="14"/>
  <c r="K46" i="14"/>
  <c r="L2" i="14"/>
  <c r="K29" i="14"/>
  <c r="K28" i="14"/>
  <c r="K20" i="14"/>
  <c r="K37" i="14"/>
  <c r="K21" i="14"/>
  <c r="K13" i="14"/>
  <c r="K5" i="14"/>
  <c r="K14" i="14"/>
  <c r="K40" i="14"/>
  <c r="K18" i="14"/>
  <c r="K34" i="14"/>
  <c r="K36" i="14"/>
  <c r="K16" i="14"/>
  <c r="K52" i="14"/>
  <c r="K48" i="14"/>
  <c r="K44" i="14"/>
  <c r="K6" i="14"/>
  <c r="K30" i="14"/>
  <c r="K32" i="14"/>
  <c r="K38" i="14"/>
  <c r="K22" i="14"/>
  <c r="K3" i="14"/>
  <c r="K10" i="14"/>
  <c r="K26" i="14"/>
  <c r="K33" i="14"/>
  <c r="K8" i="14"/>
  <c r="K24" i="14"/>
  <c r="K50" i="14"/>
  <c r="L51" i="14" l="1"/>
  <c r="L45" i="14"/>
  <c r="L37" i="14"/>
  <c r="L35" i="14"/>
  <c r="L27" i="14"/>
  <c r="L19" i="14"/>
  <c r="L11" i="14"/>
  <c r="L50" i="14"/>
  <c r="L43" i="14"/>
  <c r="L29" i="14"/>
  <c r="L21" i="14"/>
  <c r="L13" i="14"/>
  <c r="L5" i="14"/>
  <c r="L47" i="14"/>
  <c r="L25" i="14"/>
  <c r="L17" i="14"/>
  <c r="L26" i="14"/>
  <c r="L18" i="14"/>
  <c r="L10" i="14"/>
  <c r="M2" i="14"/>
  <c r="L31" i="14"/>
  <c r="L23" i="14"/>
  <c r="L15" i="14"/>
  <c r="L7" i="14"/>
  <c r="L42" i="14"/>
  <c r="L9" i="14"/>
  <c r="L52" i="14"/>
  <c r="L44" i="14"/>
  <c r="L36" i="14"/>
  <c r="L28" i="14"/>
  <c r="L20" i="14"/>
  <c r="L12" i="14"/>
  <c r="L4" i="14"/>
  <c r="L46" i="14"/>
  <c r="L6" i="14"/>
  <c r="L8" i="14"/>
  <c r="L40" i="14"/>
  <c r="L30" i="14"/>
  <c r="L34" i="14"/>
  <c r="L33" i="14"/>
  <c r="L38" i="14"/>
  <c r="L32" i="14"/>
  <c r="L14" i="14"/>
  <c r="L16" i="14"/>
  <c r="L48" i="14"/>
  <c r="L39" i="14"/>
  <c r="L41" i="14"/>
  <c r="L3" i="14"/>
  <c r="L22" i="14"/>
  <c r="L24" i="14"/>
  <c r="L49" i="14"/>
  <c r="K53" i="14"/>
  <c r="M47" i="14" l="1"/>
  <c r="N47" i="14" s="1"/>
  <c r="M41" i="14"/>
  <c r="N41" i="14" s="1"/>
  <c r="M33" i="14"/>
  <c r="N33" i="14" s="1"/>
  <c r="M25" i="14"/>
  <c r="N25" i="14" s="1"/>
  <c r="M17" i="14"/>
  <c r="N17" i="14" s="1"/>
  <c r="M9" i="14"/>
  <c r="N9" i="14" s="1"/>
  <c r="M23" i="14"/>
  <c r="N23" i="14" s="1"/>
  <c r="M15" i="14"/>
  <c r="N15" i="14" s="1"/>
  <c r="M7" i="14"/>
  <c r="N7" i="14" s="1"/>
  <c r="M43" i="14"/>
  <c r="N43" i="14" s="1"/>
  <c r="M45" i="14"/>
  <c r="N45" i="14" s="1"/>
  <c r="M37" i="14"/>
  <c r="N37" i="14" s="1"/>
  <c r="M29" i="14"/>
  <c r="N29" i="14" s="1"/>
  <c r="M21" i="14"/>
  <c r="N21" i="14" s="1"/>
  <c r="M13" i="14"/>
  <c r="N13" i="14" s="1"/>
  <c r="M5" i="14"/>
  <c r="N5" i="14" s="1"/>
  <c r="M51" i="14"/>
  <c r="N51" i="14" s="1"/>
  <c r="M27" i="14"/>
  <c r="N27" i="14" s="1"/>
  <c r="M19" i="14"/>
  <c r="N19" i="14" s="1"/>
  <c r="M11" i="14"/>
  <c r="N11" i="14" s="1"/>
  <c r="M44" i="14"/>
  <c r="N44" i="14" s="1"/>
  <c r="M31" i="14"/>
  <c r="N31" i="14" s="1"/>
  <c r="M30" i="14"/>
  <c r="N30" i="14" s="1"/>
  <c r="M49" i="14"/>
  <c r="N49" i="14" s="1"/>
  <c r="M22" i="14"/>
  <c r="N22" i="14" s="1"/>
  <c r="M14" i="14"/>
  <c r="N14" i="14" s="1"/>
  <c r="M6" i="14"/>
  <c r="N6" i="14" s="1"/>
  <c r="M48" i="14"/>
  <c r="N48" i="14" s="1"/>
  <c r="M39" i="14"/>
  <c r="N39" i="14" s="1"/>
  <c r="M46" i="14"/>
  <c r="N46" i="14" s="1"/>
  <c r="M8" i="14"/>
  <c r="N8" i="14" s="1"/>
  <c r="M32" i="14"/>
  <c r="N32" i="14" s="1"/>
  <c r="M34" i="14"/>
  <c r="N34" i="14" s="1"/>
  <c r="M50" i="14"/>
  <c r="N50" i="14" s="1"/>
  <c r="M12" i="14"/>
  <c r="N12" i="14" s="1"/>
  <c r="M28" i="14"/>
  <c r="N28" i="14" s="1"/>
  <c r="M35" i="14"/>
  <c r="N35" i="14" s="1"/>
  <c r="M3" i="14"/>
  <c r="M10" i="14"/>
  <c r="N10" i="14" s="1"/>
  <c r="M26" i="14"/>
  <c r="N26" i="14" s="1"/>
  <c r="M18" i="14"/>
  <c r="N18" i="14" s="1"/>
  <c r="M16" i="14"/>
  <c r="N16" i="14" s="1"/>
  <c r="M40" i="14"/>
  <c r="N40" i="14" s="1"/>
  <c r="M52" i="14"/>
  <c r="N52" i="14" s="1"/>
  <c r="M24" i="14"/>
  <c r="N24" i="14" s="1"/>
  <c r="M42" i="14"/>
  <c r="N42" i="14" s="1"/>
  <c r="M4" i="14"/>
  <c r="N4" i="14" s="1"/>
  <c r="M20" i="14"/>
  <c r="N20" i="14" s="1"/>
  <c r="M36" i="14"/>
  <c r="N36" i="14" s="1"/>
  <c r="M38" i="14"/>
  <c r="N38" i="14" s="1"/>
  <c r="L53" i="14"/>
  <c r="M53" i="14" l="1"/>
  <c r="N3" i="14"/>
  <c r="N53" i="14" s="1"/>
  <c r="E3" i="14"/>
  <c r="E53" i="14" s="1"/>
  <c r="D26" i="11"/>
  <c r="R5" i="11" s="1"/>
  <c r="R6"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Marcus Morante</author>
  </authors>
  <commentList>
    <comment ref="H3" authorId="0" shapeId="0" xr:uid="{00000000-0006-0000-0000-000001000000}">
      <text>
        <r>
          <rPr>
            <b/>
            <sz val="9"/>
            <color indexed="81"/>
            <rFont val="Tahoma"/>
            <family val="2"/>
          </rPr>
          <t>Marcus Morante:</t>
        </r>
        <r>
          <rPr>
            <sz val="9"/>
            <color indexed="81"/>
            <rFont val="Tahoma"/>
            <family val="2"/>
          </rPr>
          <t xml:space="preserve">
Enter the number of cases with the same transaction type (category)</t>
        </r>
      </text>
    </comment>
    <comment ref="B4" authorId="0" shapeId="0" xr:uid="{00000000-0006-0000-0000-000002000000}">
      <text>
        <r>
          <rPr>
            <b/>
            <sz val="9"/>
            <color indexed="81"/>
            <rFont val="Tahoma"/>
            <family val="2"/>
          </rPr>
          <t>Format:
Lastname, Firstname</t>
        </r>
      </text>
    </comment>
    <comment ref="C9" authorId="0" shapeId="0" xr:uid="{00000000-0006-0000-0000-000003000000}">
      <text>
        <r>
          <rPr>
            <sz val="9"/>
            <color indexed="81"/>
            <rFont val="Tahoma"/>
            <family val="2"/>
          </rPr>
          <t>Write "No Case Number" if the agent didn't create a case number.</t>
        </r>
      </text>
    </comment>
    <comment ref="I37" authorId="0" shapeId="0" xr:uid="{00000000-0006-0000-0000-000004000000}">
      <text>
        <r>
          <rPr>
            <sz val="9"/>
            <color indexed="81"/>
            <rFont val="Tahoma"/>
            <family val="2"/>
          </rPr>
          <t>Tag the agent base from the customer's perspective.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Marcus Morante</author>
  </authors>
  <commentList>
    <comment ref="A2" authorId="0" shapeId="0" xr:uid="{00000000-0006-0000-0400-000001000000}">
      <text>
        <r>
          <rPr>
            <b/>
            <sz val="9"/>
            <color indexed="81"/>
            <rFont val="Tahoma"/>
            <family val="2"/>
          </rPr>
          <t>Marcus Morante:</t>
        </r>
        <r>
          <rPr>
            <sz val="9"/>
            <color indexed="81"/>
            <rFont val="Tahoma"/>
            <family val="2"/>
          </rPr>
          <t xml:space="preserve">
Enter Work Week </t>
        </r>
        <r>
          <rPr>
            <b/>
            <sz val="9"/>
            <color indexed="81"/>
            <rFont val="Tahoma"/>
            <family val="2"/>
          </rPr>
          <t>Number</t>
        </r>
        <r>
          <rPr>
            <sz val="9"/>
            <color indexed="81"/>
            <rFont val="Tahoma"/>
            <family val="2"/>
          </rPr>
          <t>.
Example: "1,2,3,4,5…."</t>
        </r>
      </text>
    </comment>
  </commentList>
</comments>
</file>

<file path=xl/sharedStrings.xml><?xml version="1.0" encoding="utf-8"?>
<sst xmlns="http://schemas.openxmlformats.org/spreadsheetml/2006/main" count="3364" uniqueCount="2799">
  <si>
    <t>ATTRIBUTES</t>
  </si>
  <si>
    <t>Effective Resolution</t>
  </si>
  <si>
    <t>Customer Experience</t>
  </si>
  <si>
    <t>Call Efficiency</t>
  </si>
  <si>
    <t>Process Compliance</t>
  </si>
  <si>
    <t>Meeting</t>
  </si>
  <si>
    <t>Case Number</t>
  </si>
  <si>
    <t>Category</t>
  </si>
  <si>
    <t>Sub-Category</t>
  </si>
  <si>
    <t>Evaluator</t>
  </si>
  <si>
    <t>Access Code</t>
  </si>
  <si>
    <t>Access code is already redeemed</t>
  </si>
  <si>
    <t>Access code is expired</t>
  </si>
  <si>
    <t>Access code is unreadable</t>
  </si>
  <si>
    <t>Asking if the code has been used</t>
  </si>
  <si>
    <t>Asking if they can reuse a code</t>
  </si>
  <si>
    <t>Asking what a code is good for</t>
  </si>
  <si>
    <t>Asking when the code expires</t>
  </si>
  <si>
    <t>Attempted to Register at Wrong Site</t>
  </si>
  <si>
    <t>Difficulty Finding/Selecting Textbook/Product to register for</t>
  </si>
  <si>
    <t>EDU Request AC Page</t>
  </si>
  <si>
    <t>How to register</t>
  </si>
  <si>
    <t>Missing field to enter access code</t>
  </si>
  <si>
    <t>Multiple online products error</t>
  </si>
  <si>
    <t>Need an access code</t>
  </si>
  <si>
    <t>Need Self Study</t>
  </si>
  <si>
    <t>Need to repurchase because of change in text in next course</t>
  </si>
  <si>
    <t>Pending/deny account modify</t>
  </si>
  <si>
    <t>Pricing Question</t>
  </si>
  <si>
    <t>Product mismatch</t>
  </si>
  <si>
    <t>Purchase Options</t>
  </si>
  <si>
    <t>Reattempt Registration</t>
  </si>
  <si>
    <t>Requesting Section Instructor Code</t>
  </si>
  <si>
    <t>Wanting to purchase standalone eText</t>
  </si>
  <si>
    <t>Sign In/Password</t>
  </si>
  <si>
    <t>Authentication errors</t>
  </si>
  <si>
    <t>Blank/White Page</t>
  </si>
  <si>
    <t>Customer support codes (ESB3 etc.)</t>
  </si>
  <si>
    <t>Expired account/no subscription</t>
  </si>
  <si>
    <t>Forgot email address/email address no longer in use</t>
  </si>
  <si>
    <t>Forgot password</t>
  </si>
  <si>
    <t>Forgot username</t>
  </si>
  <si>
    <t>How to sign in</t>
  </si>
  <si>
    <t>Invalid email address</t>
  </si>
  <si>
    <t>Multiple accounts</t>
  </si>
  <si>
    <t>Signing into non-Pearson system</t>
  </si>
  <si>
    <t>SSO Error</t>
  </si>
  <si>
    <t>Time-out/Server Error</t>
  </si>
  <si>
    <t>Wrong site</t>
  </si>
  <si>
    <t>Your Course Did Not Load Properly</t>
  </si>
  <si>
    <t>Online purchase failed</t>
  </si>
  <si>
    <t>Purchased the wrong product</t>
  </si>
  <si>
    <t>Refund request/CS issues</t>
  </si>
  <si>
    <t>Specific online purchase error messages</t>
  </si>
  <si>
    <t>Temporary Access</t>
  </si>
  <si>
    <t>3rd-party integration</t>
  </si>
  <si>
    <t>How to use/upgrade temp access</t>
  </si>
  <si>
    <t>Registration error messages</t>
  </si>
  <si>
    <t>Retrieve Student Grades</t>
  </si>
  <si>
    <t>Temp Access Expired</t>
  </si>
  <si>
    <t>Temp access option unavailable</t>
  </si>
  <si>
    <t>Account Information</t>
  </si>
  <si>
    <t>Delete account</t>
  </si>
  <si>
    <t>Linking/Unlinking Accounts (Std Int)</t>
  </si>
  <si>
    <t>Merging accounts</t>
  </si>
  <si>
    <t>Need to change company/institution name</t>
  </si>
  <si>
    <t>Need to change email</t>
  </si>
  <si>
    <t>Need to change name</t>
  </si>
  <si>
    <t>Need to change school/other info</t>
  </si>
  <si>
    <t>Need to change username/password</t>
  </si>
  <si>
    <t>Student IDs</t>
  </si>
  <si>
    <t>Enrolling in a course</t>
  </si>
  <si>
    <t>Add/Drop Course (LS Only)</t>
  </si>
  <si>
    <t>Financial Aid (LS Only)</t>
  </si>
  <si>
    <t>Invalid Course ID</t>
  </si>
  <si>
    <t>Invalid Course ID (Entered access code)</t>
  </si>
  <si>
    <t>Invalid Course ID (Used coordinator ID)</t>
  </si>
  <si>
    <t>Missing course</t>
  </si>
  <si>
    <t>Need a Course ID</t>
  </si>
  <si>
    <t>Reg may have completed cannot confirm (1000)</t>
  </si>
  <si>
    <t>Retaking a course</t>
  </si>
  <si>
    <t>Unable to successfully complete (38)</t>
  </si>
  <si>
    <t>Course Tools</t>
  </si>
  <si>
    <t>Announcements</t>
  </si>
  <si>
    <t>Blackboard IM</t>
  </si>
  <si>
    <t>Blackboard Voice</t>
  </si>
  <si>
    <t>CD/DVD/Other Software Installation</t>
  </si>
  <si>
    <t>Chat</t>
  </si>
  <si>
    <t>ClassLive</t>
  </si>
  <si>
    <t>Constellation</t>
  </si>
  <si>
    <t>Course Scheduler</t>
  </si>
  <si>
    <t>Discussion</t>
  </si>
  <si>
    <t>Doc Sharing/Manage Files</t>
  </si>
  <si>
    <t>Dropbox</t>
  </si>
  <si>
    <t>Dynamic Study Modules</t>
  </si>
  <si>
    <t>eBooks</t>
  </si>
  <si>
    <t>Email</t>
  </si>
  <si>
    <t>ePortfolio</t>
  </si>
  <si>
    <t>Equella</t>
  </si>
  <si>
    <t>ExamGuard</t>
  </si>
  <si>
    <t>iConnect</t>
  </si>
  <si>
    <t>iLab/Citrix</t>
  </si>
  <si>
    <t>Journal</t>
  </si>
  <si>
    <t>Knewton</t>
  </si>
  <si>
    <t>Learning Objects</t>
  </si>
  <si>
    <t>Lockdown Browser</t>
  </si>
  <si>
    <t>MarvinJW</t>
  </si>
  <si>
    <t>Microsoft Office</t>
  </si>
  <si>
    <t>Mobile app</t>
  </si>
  <si>
    <t>REDI</t>
  </si>
  <si>
    <t>Smarthinking/tutor</t>
  </si>
  <si>
    <t>Syllabus</t>
  </si>
  <si>
    <t>TestGen Plugin</t>
  </si>
  <si>
    <t>TurnItIn</t>
  </si>
  <si>
    <t>Unlisted 3rd party</t>
  </si>
  <si>
    <t>VitalSource</t>
  </si>
  <si>
    <t>WayPoint</t>
  </si>
  <si>
    <t>Webliography</t>
  </si>
  <si>
    <t>Writing Space</t>
  </si>
  <si>
    <t>Course Management</t>
  </si>
  <si>
    <t>Add/Remove Section Instructor</t>
  </si>
  <si>
    <t>Admin Pages</t>
  </si>
  <si>
    <t>Course roster</t>
  </si>
  <si>
    <t>Create/copy course</t>
  </si>
  <si>
    <t>Delete/retrieve course</t>
  </si>
  <si>
    <t>Enrollment dates</t>
  </si>
  <si>
    <t>Install Building Block/Widget/App</t>
  </si>
  <si>
    <t>Member/coordinator</t>
  </si>
  <si>
    <t>Pair/Unpair Courses (Std Integration)</t>
  </si>
  <si>
    <t>Start/end dates</t>
  </si>
  <si>
    <t>Supplemental Resource Request</t>
  </si>
  <si>
    <t>Time zone</t>
  </si>
  <si>
    <t>Content Errors</t>
  </si>
  <si>
    <t>Activity not running correctly</t>
  </si>
  <si>
    <t>Broken Link</t>
  </si>
  <si>
    <t>Error in simulation</t>
  </si>
  <si>
    <t>eText content/text content (error)</t>
  </si>
  <si>
    <t>Exercise/TestBank Error</t>
  </si>
  <si>
    <t>HTTP error (404, etc.)</t>
  </si>
  <si>
    <t>Missing content</t>
  </si>
  <si>
    <t>Sound in activity/video not working</t>
  </si>
  <si>
    <t>Video not playing</t>
  </si>
  <si>
    <t>Assignments</t>
  </si>
  <si>
    <t>Assignment Crashed</t>
  </si>
  <si>
    <t>Assignment settings</t>
  </si>
  <si>
    <t>Assignment will not open</t>
  </si>
  <si>
    <t>Audio not working</t>
  </si>
  <si>
    <t>Create/edit/delete assignments</t>
  </si>
  <si>
    <t>Custom question builder</t>
  </si>
  <si>
    <t>Entering answers</t>
  </si>
  <si>
    <t>Equation editor (Mastering)</t>
  </si>
  <si>
    <t>How to delete/reset attempt</t>
  </si>
  <si>
    <t>Navigation</t>
  </si>
  <si>
    <t>Prerequisites</t>
  </si>
  <si>
    <t>Project Creation Tool (MyITLab)</t>
  </si>
  <si>
    <t>Simple/Advanced Editor (Mastering)</t>
  </si>
  <si>
    <t>Time-out</t>
  </si>
  <si>
    <t>Video not working</t>
  </si>
  <si>
    <t>Gradebook</t>
  </si>
  <si>
    <t>Accepting late submissions</t>
  </si>
  <si>
    <t>Entire Course: Grades Not Syncing</t>
  </si>
  <si>
    <t>Entire Institution: Grades Not Syncing</t>
  </si>
  <si>
    <t>Error Message Displayed During Grade Sync (3PL)</t>
  </si>
  <si>
    <t>Extra credit</t>
  </si>
  <si>
    <t>Grade missing</t>
  </si>
  <si>
    <t>Gradebook error</t>
  </si>
  <si>
    <t>How-to</t>
  </si>
  <si>
    <t>Import/export</t>
  </si>
  <si>
    <t>Incorrect grade</t>
  </si>
  <si>
    <t>Integrity Violations (MyITLab)</t>
  </si>
  <si>
    <t>LS gradebook setup</t>
  </si>
  <si>
    <t>Manage Incompletes (XL)</t>
  </si>
  <si>
    <t>Manual Refresh of Grades Fail (3PL)</t>
  </si>
  <si>
    <t>Merging grades</t>
  </si>
  <si>
    <t>Offline items</t>
  </si>
  <si>
    <t>One or More Students: Grades Not Syncing</t>
  </si>
  <si>
    <t>Review options</t>
  </si>
  <si>
    <t>Scoring options/schemas</t>
  </si>
  <si>
    <t>Setup Gradebook Sync (3PL)</t>
  </si>
  <si>
    <t>Weighting</t>
  </si>
  <si>
    <t>Category Level 1</t>
  </si>
  <si>
    <t>Data Validation</t>
  </si>
  <si>
    <t>AccessCode</t>
  </si>
  <si>
    <t>SignInPasswordIssues</t>
  </si>
  <si>
    <t>OnlinePurchase</t>
  </si>
  <si>
    <t>TemporaryAccess</t>
  </si>
  <si>
    <t>AccountInformation</t>
  </si>
  <si>
    <t>EnrollCourse</t>
  </si>
  <si>
    <t>CourseTools</t>
  </si>
  <si>
    <t>CourseManagement</t>
  </si>
  <si>
    <t>ContentErrors</t>
  </si>
  <si>
    <t>Referrals</t>
  </si>
  <si>
    <t>Training</t>
  </si>
  <si>
    <t>Internal Tools</t>
  </si>
  <si>
    <t>InternalTools</t>
  </si>
  <si>
    <t>Replaced Access Code</t>
  </si>
  <si>
    <t>ReplaceCode</t>
  </si>
  <si>
    <t>Browsers/OS</t>
  </si>
  <si>
    <t>BrowserOS</t>
  </si>
  <si>
    <t>Add-on or plug-in</t>
  </si>
  <si>
    <t>AddPlug</t>
  </si>
  <si>
    <t>Internal Escalations</t>
  </si>
  <si>
    <t>InternalEscal</t>
  </si>
  <si>
    <t>Purchased from 3rd Party</t>
  </si>
  <si>
    <t>Purchase3rdParty</t>
  </si>
  <si>
    <t>Profile</t>
  </si>
  <si>
    <t>Easy to understand</t>
  </si>
  <si>
    <t>Pacing/Matching customer's competency</t>
  </si>
  <si>
    <t>Effectively resolved the customer's issue</t>
  </si>
  <si>
    <t>Educate the customer</t>
  </si>
  <si>
    <t>Took ownership of the call/chat</t>
  </si>
  <si>
    <t>Agent Name</t>
  </si>
  <si>
    <t>Potential Integrity Issue?</t>
  </si>
  <si>
    <t>Not Meeting</t>
  </si>
  <si>
    <t>Asked relevant and effective probing question/s</t>
  </si>
  <si>
    <t>Resolution</t>
  </si>
  <si>
    <t>ANI</t>
  </si>
  <si>
    <t>Sub-Resolution</t>
  </si>
  <si>
    <t>Duration</t>
  </si>
  <si>
    <t>Classification</t>
  </si>
  <si>
    <t>Product/School</t>
  </si>
  <si>
    <t>Employee #</t>
  </si>
  <si>
    <t>Activity Tracker</t>
  </si>
  <si>
    <t>#</t>
  </si>
  <si>
    <t>Opening Spiel/Greeting</t>
  </si>
  <si>
    <t>Evaluation Date</t>
  </si>
  <si>
    <t>Probing/Asking for Issue</t>
  </si>
  <si>
    <t>Troubleshooting</t>
  </si>
  <si>
    <t>1st Level Supervisor</t>
  </si>
  <si>
    <t>2nd Level Supervisor</t>
  </si>
  <si>
    <t>Transaction Close</t>
  </si>
  <si>
    <t>Activity</t>
  </si>
  <si>
    <t>Platform</t>
  </si>
  <si>
    <t>Quarter</t>
  </si>
  <si>
    <t>Name</t>
  </si>
  <si>
    <t>Espiritu Iv, Alejandro</t>
  </si>
  <si>
    <t>Main, Maryjoy</t>
  </si>
  <si>
    <t>Recio, Dranreb</t>
  </si>
  <si>
    <t>Bustamante, April Joy</t>
  </si>
  <si>
    <t>Belmonte, Rochelle</t>
  </si>
  <si>
    <t>Teves, Mark Ryan</t>
  </si>
  <si>
    <t>Pascual, John Bryan</t>
  </si>
  <si>
    <t>Dacanay Jr, Efren</t>
  </si>
  <si>
    <t>Taller Jr, Fernando</t>
  </si>
  <si>
    <t>Santos, Leigh Anne</t>
  </si>
  <si>
    <t>Erestain, Kryzylynne</t>
  </si>
  <si>
    <t>Sayo, Esperanza</t>
  </si>
  <si>
    <t>Bongat, Ma. Laurice</t>
  </si>
  <si>
    <t>Golosino, Geraldine</t>
  </si>
  <si>
    <t>Maxilom, Justin Anton</t>
  </si>
  <si>
    <t>Talite, Ryan Arnold</t>
  </si>
  <si>
    <t>Delos Santos Jr, Noel</t>
  </si>
  <si>
    <t>Jocson, Rejeanne</t>
  </si>
  <si>
    <t>Abay, Catherine</t>
  </si>
  <si>
    <t>Mendoza, Glenn</t>
  </si>
  <si>
    <t>Dela Peña, Dianne</t>
  </si>
  <si>
    <t>Cruz, Fernan</t>
  </si>
  <si>
    <t>Logan, Jonylyn</t>
  </si>
  <si>
    <t>Madrazo, Timothy</t>
  </si>
  <si>
    <t>Adriano, Ruby Rose</t>
  </si>
  <si>
    <t>Camacho, Jinky</t>
  </si>
  <si>
    <t>Cruz, Ma. Marieden</t>
  </si>
  <si>
    <t>Dumale, Edison</t>
  </si>
  <si>
    <t>Noche, Raychel</t>
  </si>
  <si>
    <t>Mejia, Dina</t>
  </si>
  <si>
    <t>Dimalanta, Jose Rey</t>
  </si>
  <si>
    <t>Rodaje, Jan Michael</t>
  </si>
  <si>
    <t>Vargas, Jhon</t>
  </si>
  <si>
    <t>Lagmay, Mylene</t>
  </si>
  <si>
    <t>Espiritu, Roselle</t>
  </si>
  <si>
    <t>Heraldo, Kemberly Rose</t>
  </si>
  <si>
    <t>Yu Seng, David</t>
  </si>
  <si>
    <t>De Leon, Jay-R</t>
  </si>
  <si>
    <t>Iway, Karen April</t>
  </si>
  <si>
    <t>Maraan, Al John</t>
  </si>
  <si>
    <t>Quiñones, Rachel</t>
  </si>
  <si>
    <t>Banaynal, Maria Rona</t>
  </si>
  <si>
    <t>Delos Santos Iii, Napoleon</t>
  </si>
  <si>
    <t>Santos, Cyntara Fe</t>
  </si>
  <si>
    <t>Zabala, Erwin</t>
  </si>
  <si>
    <t>Brown, Jayson</t>
  </si>
  <si>
    <t>Guiniling, Paulene Jamie</t>
  </si>
  <si>
    <t>Junio, Mark</t>
  </si>
  <si>
    <t>Reas, Artlud</t>
  </si>
  <si>
    <t>Sabas, Jesie</t>
  </si>
  <si>
    <t>De Guzman, Mark Louie</t>
  </si>
  <si>
    <t>Detran, Ann May</t>
  </si>
  <si>
    <t>Ariego, Jeraldene</t>
  </si>
  <si>
    <t>Elipan, Alexander</t>
  </si>
  <si>
    <t>Logronio, Razze Ann Joy</t>
  </si>
  <si>
    <t>Solomon, Robert</t>
  </si>
  <si>
    <t>Dumpa, Nor Hammidah</t>
  </si>
  <si>
    <t>Esperanzate, Jillian</t>
  </si>
  <si>
    <t>Ponferrada, Ronel</t>
  </si>
  <si>
    <t>Asencio, Jorie</t>
  </si>
  <si>
    <t>Noblejas, Mildred</t>
  </si>
  <si>
    <t>Agapan, Liberty</t>
  </si>
  <si>
    <t>Cruz, Conrado</t>
  </si>
  <si>
    <t>Satura, Ryan</t>
  </si>
  <si>
    <t>Bautista, Jorinna</t>
  </si>
  <si>
    <t>Cave, Bryan</t>
  </si>
  <si>
    <t>Fontanilla, Diana</t>
  </si>
  <si>
    <t>Peñalosa, Rezelmay</t>
  </si>
  <si>
    <t>Samano, Amelia</t>
  </si>
  <si>
    <t>Velasquez, Val Eric</t>
  </si>
  <si>
    <t>Belbis, Marco Paulo</t>
  </si>
  <si>
    <t>Malala, Queen</t>
  </si>
  <si>
    <t>Oprenario, Michele</t>
  </si>
  <si>
    <t>Sugata-On, Ralph</t>
  </si>
  <si>
    <t>Villanueva, Jo Carl</t>
  </si>
  <si>
    <t>Campos, Jenril Joshua</t>
  </si>
  <si>
    <t>Cruz, Billy Roi</t>
  </si>
  <si>
    <t>Arellano, Arlo</t>
  </si>
  <si>
    <t>Durano, Ernest John</t>
  </si>
  <si>
    <t>Enciso, Zyrah</t>
  </si>
  <si>
    <t>Rico, Elanie</t>
  </si>
  <si>
    <t>Gungob, Ann Melody</t>
  </si>
  <si>
    <t>Alejo, Dante Rossetti</t>
  </si>
  <si>
    <t>Gamboa, Irynell</t>
  </si>
  <si>
    <t>Romero, Gerald</t>
  </si>
  <si>
    <t>Dizon, Marvin Marc</t>
  </si>
  <si>
    <t>Roque, Rosalinda</t>
  </si>
  <si>
    <t>Villarosa, Ramil Radsy</t>
  </si>
  <si>
    <t>Deniega, Mark Louie</t>
  </si>
  <si>
    <t>Tablizo, Cathlene Nina</t>
  </si>
  <si>
    <t>Alvarez, Janica Nina</t>
  </si>
  <si>
    <t>Casi, Chris Bernard</t>
  </si>
  <si>
    <t>Reyes, Patricia Marie</t>
  </si>
  <si>
    <t>Roja, Rodel</t>
  </si>
  <si>
    <t>Vallejo, Jona</t>
  </si>
  <si>
    <t>Bertillo, Mariel</t>
  </si>
  <si>
    <t>Ignacio, Prince Cedric</t>
  </si>
  <si>
    <t>Montero, Michelle</t>
  </si>
  <si>
    <t>Juada, Joeffrey Francis Jude</t>
  </si>
  <si>
    <t>Piedad, Philip</t>
  </si>
  <si>
    <t>Garcia, Florisa</t>
  </si>
  <si>
    <t>Maranon, Diana Rose</t>
  </si>
  <si>
    <t>Tupaz, Melita</t>
  </si>
  <si>
    <t>Fulay, Christine</t>
  </si>
  <si>
    <t>Corpuz, Eric Ralph</t>
  </si>
  <si>
    <t>Simangan, Carmela Mae</t>
  </si>
  <si>
    <t>Hacildo, Trisha Keith</t>
  </si>
  <si>
    <t>Ferrer, Nhelisa</t>
  </si>
  <si>
    <t>Garcia, Joan</t>
  </si>
  <si>
    <t>Montero, Christine</t>
  </si>
  <si>
    <t>Teneza, Mariel San</t>
  </si>
  <si>
    <t>Valdeleon, Josh</t>
  </si>
  <si>
    <t>Borbon, Rodolfo</t>
  </si>
  <si>
    <t>Maranga, Jhonalyn</t>
  </si>
  <si>
    <t>Marquez, Darwin</t>
  </si>
  <si>
    <t>Capricho Jr, Virgilio</t>
  </si>
  <si>
    <t>Quila, Kimberlyn</t>
  </si>
  <si>
    <t>Llave, Maribel</t>
  </si>
  <si>
    <t>Bautista, Art Ferdie</t>
  </si>
  <si>
    <t>Matining, Vernice George</t>
  </si>
  <si>
    <t>Morente, Naechelle</t>
  </si>
  <si>
    <t>Adea, Ramon Reynante</t>
  </si>
  <si>
    <t>Manahan, Maureen</t>
  </si>
  <si>
    <t>Dy, Mary Angelique</t>
  </si>
  <si>
    <t>Caligagan, Paolo</t>
  </si>
  <si>
    <t>Grande, Rolly</t>
  </si>
  <si>
    <t>Decano, Pamela</t>
  </si>
  <si>
    <t>Maglaque, Ced Lewis</t>
  </si>
  <si>
    <t>Penafiel, Nicole Elaine</t>
  </si>
  <si>
    <t>Tarrobago, Natasha Mae</t>
  </si>
  <si>
    <t>Pilapil, Luzelle</t>
  </si>
  <si>
    <t>Crisostomo, John Redeemer</t>
  </si>
  <si>
    <t>Catipon, Jomel</t>
  </si>
  <si>
    <t>Molina, Reychell</t>
  </si>
  <si>
    <t>Lagario, Marjorie</t>
  </si>
  <si>
    <t>Berja, Aries</t>
  </si>
  <si>
    <t>Carlos, Elizabeth</t>
  </si>
  <si>
    <t>Cecilio, Racquel</t>
  </si>
  <si>
    <t>Espiritu, Wesley</t>
  </si>
  <si>
    <t>Pamplona, Arrol Gabatin</t>
  </si>
  <si>
    <t>Caritativo, Krystia Nadine Zambrana</t>
  </si>
  <si>
    <t>Dimaala, Karlo Carmen</t>
  </si>
  <si>
    <t>Marasigan, Nicole Faye Mincey Andes</t>
  </si>
  <si>
    <t>Mateo, Richard John Gumatay</t>
  </si>
  <si>
    <t>Ong, Andrei Gilana</t>
  </si>
  <si>
    <t>Par, Sarah Aljen Quitevis</t>
  </si>
  <si>
    <t>Roda, Sharmiene Quinimon</t>
  </si>
  <si>
    <t>Sabater, Suzette Lee</t>
  </si>
  <si>
    <t>Villanueva, Emil Allan Gonzales</t>
  </si>
  <si>
    <t>Pelayo, Hanna Joyce Laure</t>
  </si>
  <si>
    <t>Zamora, Rhoda Baylon</t>
  </si>
  <si>
    <t>Patic, Al Franz Musa</t>
  </si>
  <si>
    <t>Avena, Catherine</t>
  </si>
  <si>
    <t>Hall, Jhumar</t>
  </si>
  <si>
    <t>Llenarezas, Christopher</t>
  </si>
  <si>
    <t>Gumba, Flesca Deca</t>
  </si>
  <si>
    <t>Tierra, Kathylene</t>
  </si>
  <si>
    <t>Hernandez, James Russell</t>
  </si>
  <si>
    <t>Ibanez, Amy Cristy</t>
  </si>
  <si>
    <t>Dacillo, Camille</t>
  </si>
  <si>
    <t>Dizon, Kenneth Oliver Gatmaitan</t>
  </si>
  <si>
    <t>Lopez, Mariela Joy</t>
  </si>
  <si>
    <t>Labios, Sarah Jane</t>
  </si>
  <si>
    <t>Cadiz, Tonica</t>
  </si>
  <si>
    <t>Villa, Ronald</t>
  </si>
  <si>
    <t>Canag, Jerson</t>
  </si>
  <si>
    <t>Saliling, Arlyn</t>
  </si>
  <si>
    <t>Sayson, Jovanessa P</t>
  </si>
  <si>
    <t>Alvarado, Cherry Rose</t>
  </si>
  <si>
    <t>Tubera, Jerrowen Alea</t>
  </si>
  <si>
    <t>Fran, Christine Jane Soriano</t>
  </si>
  <si>
    <t>Padua, Teresa Benabente</t>
  </si>
  <si>
    <t>Talaboc, Trizia Ira Marie Dimaano</t>
  </si>
  <si>
    <t>Cruz, Xavier Marc Victor Zafra</t>
  </si>
  <si>
    <t>Go, Jonnabelle</t>
  </si>
  <si>
    <t>Joaquin, Pelita</t>
  </si>
  <si>
    <t>Manuel, Paul</t>
  </si>
  <si>
    <t>Mogado, Jocelyn</t>
  </si>
  <si>
    <t>Moster, Lynette</t>
  </si>
  <si>
    <t>Resolution Level 1</t>
  </si>
  <si>
    <t>Adobe Reader</t>
  </si>
  <si>
    <t>Flash Player</t>
  </si>
  <si>
    <t>Java</t>
  </si>
  <si>
    <t>MyITLab 1 Step Installer</t>
  </si>
  <si>
    <t>MyITLab Active X</t>
  </si>
  <si>
    <t>MyITLab RDC</t>
  </si>
  <si>
    <t>QuickTime Player</t>
  </si>
  <si>
    <t>Screen Reader/JAWS, etc</t>
  </si>
  <si>
    <t>Shockwave</t>
  </si>
  <si>
    <t>Active X</t>
  </si>
  <si>
    <t>Alternative Browser</t>
  </si>
  <si>
    <t>Clear Cookies/Cache</t>
  </si>
  <si>
    <t>Content Advisor</t>
  </si>
  <si>
    <t>Cookie restrictions</t>
  </si>
  <si>
    <t>Display Issues</t>
  </si>
  <si>
    <t>Flush DNS/Reset Connection</t>
  </si>
  <si>
    <t>Pop-up blocker</t>
  </si>
  <si>
    <t>Protected mode</t>
  </si>
  <si>
    <t>Provide Exception to 3rd Party Firewall/Security</t>
  </si>
  <si>
    <t>Recommended browser settings</t>
  </si>
  <si>
    <t>Reset Browser</t>
  </si>
  <si>
    <t>Trusted Sites</t>
  </si>
  <si>
    <t>Unsupported Browser - Edge</t>
  </si>
  <si>
    <t>Unsupported Browser - Windows 10</t>
  </si>
  <si>
    <t>Unsupported Device/OS (iPad, Linux, Mac)</t>
  </si>
  <si>
    <t>Advancements</t>
  </si>
  <si>
    <t>Client Services/Request</t>
  </si>
  <si>
    <t>Content</t>
  </si>
  <si>
    <t>Escalations</t>
  </si>
  <si>
    <t>International Queue</t>
  </si>
  <si>
    <t>Solved by Ops/Editorial</t>
  </si>
  <si>
    <t>System Outage Planned</t>
  </si>
  <si>
    <t>System Outage Unplanned</t>
  </si>
  <si>
    <t>Waiting</t>
  </si>
  <si>
    <t>Access Code - Add Cash In</t>
  </si>
  <si>
    <t>Adjust User Role (XL)</t>
  </si>
  <si>
    <t>Adjust User Status (Mastering)</t>
  </si>
  <si>
    <t>Expire Access Code (Bookstore Request)</t>
  </si>
  <si>
    <t>Located Partial Access Code</t>
  </si>
  <si>
    <t>Modify Roster</t>
  </si>
  <si>
    <t>Modify Subscription</t>
  </si>
  <si>
    <t>Portal Synch</t>
  </si>
  <si>
    <t>Provided Access Code for Rep/EDU</t>
  </si>
  <si>
    <t>Sent Login Information</t>
  </si>
  <si>
    <t>Sent Password Reset Link</t>
  </si>
  <si>
    <t>Unexpire Access Code</t>
  </si>
  <si>
    <t>Instructor gave out wrong ID</t>
  </si>
  <si>
    <t>Instructor set up wrong course</t>
  </si>
  <si>
    <t>No Access Code Included with book</t>
  </si>
  <si>
    <t>Retaking Course Edition Changed</t>
  </si>
  <si>
    <t>Student has CW/WPS (Companion) Code, needed MyLab/Mastering</t>
  </si>
  <si>
    <t>Admin</t>
  </si>
  <si>
    <t>Customer Experience Managers</t>
  </si>
  <si>
    <t>Customer Service</t>
  </si>
  <si>
    <t>Disability Request</t>
  </si>
  <si>
    <t>Faculty Advisor</t>
  </si>
  <si>
    <t>Instructor/School Contact</t>
  </si>
  <si>
    <t>IRC</t>
  </si>
  <si>
    <t>ISP</t>
  </si>
  <si>
    <t>iSupport</t>
  </si>
  <si>
    <t>K12</t>
  </si>
  <si>
    <t>Permissions Request</t>
  </si>
  <si>
    <t>Sales Rep</t>
  </si>
  <si>
    <t>Tech Specialist</t>
  </si>
  <si>
    <t>Tutor Services</t>
  </si>
  <si>
    <t>Access Code Unreadable</t>
  </si>
  <si>
    <t>instructor gave out wrong ID</t>
  </si>
  <si>
    <t>instructor set up wrong course</t>
  </si>
  <si>
    <t>Multi-Semester Course</t>
  </si>
  <si>
    <t>Student purchased Standalone, needed MMND</t>
  </si>
  <si>
    <t>student purchased wrong code bookstore</t>
  </si>
  <si>
    <t>student purchased wrong code MBS</t>
  </si>
  <si>
    <t>Student purchased wrong edition</t>
  </si>
  <si>
    <t>Student Selected Wrong Book</t>
  </si>
  <si>
    <t>General Navigation</t>
  </si>
  <si>
    <t>Known Issue</t>
  </si>
  <si>
    <t>Registration Walkthrough</t>
  </si>
  <si>
    <t>Work Week</t>
  </si>
  <si>
    <t>First Day</t>
  </si>
  <si>
    <t>1st</t>
  </si>
  <si>
    <t>2nd</t>
  </si>
  <si>
    <t>3rd</t>
  </si>
  <si>
    <t>4th</t>
  </si>
  <si>
    <t>HigherEd Products</t>
  </si>
  <si>
    <t>NES Prep</t>
  </si>
  <si>
    <t>MediaShare</t>
  </si>
  <si>
    <t>AZAR Interactive</t>
  </si>
  <si>
    <t>Biology Labs Online</t>
  </si>
  <si>
    <t>Campbell Biology Gateway</t>
  </si>
  <si>
    <t>CaseNavigator</t>
  </si>
  <si>
    <t>CD-ROM/DVD-ROM</t>
  </si>
  <si>
    <t>Cyber Classroom</t>
  </si>
  <si>
    <t>Digital Library</t>
  </si>
  <si>
    <t>Focus on Grammar Interactive</t>
  </si>
  <si>
    <t>Instructor Resource Center</t>
  </si>
  <si>
    <t>Interactive Physiology</t>
  </si>
  <si>
    <t>Learning Catalytics</t>
  </si>
  <si>
    <t>Longman English Interactive</t>
  </si>
  <si>
    <t>MathXL</t>
  </si>
  <si>
    <t>MathXL for School</t>
  </si>
  <si>
    <t>MathXL for School with SuccessNet Plus</t>
  </si>
  <si>
    <t>MasteringA&amp;P</t>
  </si>
  <si>
    <t>MasteringAstronomy</t>
  </si>
  <si>
    <t>MasteringBiology</t>
  </si>
  <si>
    <t>MasteringChemistry</t>
  </si>
  <si>
    <t>MasteringEnvironmentalScience</t>
  </si>
  <si>
    <t>MasteringGenetics</t>
  </si>
  <si>
    <t>MasteringEngineering</t>
  </si>
  <si>
    <t>MasteringGeography</t>
  </si>
  <si>
    <t>MasteringMicrobiology</t>
  </si>
  <si>
    <t>MasteringNutrition</t>
  </si>
  <si>
    <t>MasteringOceanography</t>
  </si>
  <si>
    <t>Pearson Collections</t>
  </si>
  <si>
    <t>MasteringPhysics</t>
  </si>
  <si>
    <t>Medical Terminology Interactive</t>
  </si>
  <si>
    <t>MyAcademicConnectionsLab</t>
  </si>
  <si>
    <t>MyAccountingLab</t>
  </si>
  <si>
    <t>MyAnthroLab</t>
  </si>
  <si>
    <t>MyArtsLab</t>
  </si>
  <si>
    <t>MyAutomotiveLab</t>
  </si>
  <si>
    <t>MyBCommLab</t>
  </si>
  <si>
    <t>MyBizLab</t>
  </si>
  <si>
    <t>MyBRADYLab</t>
  </si>
  <si>
    <t>MyBusCommLab</t>
  </si>
  <si>
    <t>MyBusinessLab</t>
  </si>
  <si>
    <t>MyBusLawLab</t>
  </si>
  <si>
    <t>MyChineseLab</t>
  </si>
  <si>
    <t>MyCJLab</t>
  </si>
  <si>
    <t>MyCommunicationKit</t>
  </si>
  <si>
    <t>MyCompLab</t>
  </si>
  <si>
    <t>MyCounselingLab</t>
  </si>
  <si>
    <t>MyCrimeLab</t>
  </si>
  <si>
    <t>MyCulinaryLab</t>
  </si>
  <si>
    <t>MyDevelopmentKit</t>
  </si>
  <si>
    <t>MyDevelopmentLab</t>
  </si>
  <si>
    <t>MyDietAnalysis</t>
  </si>
  <si>
    <t>MyEconLab</t>
  </si>
  <si>
    <t>MyEdLeadershipLab</t>
  </si>
  <si>
    <t>MyEducationKit</t>
  </si>
  <si>
    <t>MyEducationLab</t>
  </si>
  <si>
    <t>MyElectricityLab</t>
  </si>
  <si>
    <t>MyEMSKit</t>
  </si>
  <si>
    <t>MyEngineeringLab</t>
  </si>
  <si>
    <t>MyEnglishLab</t>
  </si>
  <si>
    <t>MyFinanceLab</t>
  </si>
  <si>
    <t>MyFitnessLab</t>
  </si>
  <si>
    <t>MyFoundationsLab</t>
  </si>
  <si>
    <t>MyFrenchLab</t>
  </si>
  <si>
    <t>MyGermanLab</t>
  </si>
  <si>
    <t>MyGraphicsLab</t>
  </si>
  <si>
    <t>MyHealthLab</t>
  </si>
  <si>
    <t>MyHealthProfessionsLab</t>
  </si>
  <si>
    <t>MyHelpingLab</t>
  </si>
  <si>
    <t>MyHistoryLab</t>
  </si>
  <si>
    <t>MyHospitalityLab</t>
  </si>
  <si>
    <t>MyHRLab</t>
  </si>
  <si>
    <t>MyHVACLab</t>
  </si>
  <si>
    <t>MyItalianLab</t>
  </si>
  <si>
    <t>MyITCertificationLab</t>
  </si>
  <si>
    <t>MyITLab</t>
  </si>
  <si>
    <t>MyLabSchool</t>
  </si>
  <si>
    <t>MyLanguageLeaderLab</t>
  </si>
  <si>
    <t>MyLatinLab</t>
  </si>
  <si>
    <t>MyLawChamber</t>
  </si>
  <si>
    <t>MyLawLab</t>
  </si>
  <si>
    <t>MyLiteratureLab</t>
  </si>
  <si>
    <t>MyManagementLab</t>
  </si>
  <si>
    <t>MyMarketingLab</t>
  </si>
  <si>
    <t>MyMathLab</t>
  </si>
  <si>
    <t>CourseConnect</t>
  </si>
  <si>
    <t>Pearson Custom Library</t>
  </si>
  <si>
    <t>MyMathLab Brasil</t>
  </si>
  <si>
    <t>MyMathLab Espanol</t>
  </si>
  <si>
    <t>MyMathLab Global</t>
  </si>
  <si>
    <t>MyMathTest</t>
  </si>
  <si>
    <t>MyMedicalTerminologyLab</t>
  </si>
  <si>
    <t>MyMeteorologyLab</t>
  </si>
  <si>
    <t>mymicrobiologyplace</t>
  </si>
  <si>
    <t>MyMISLab</t>
  </si>
  <si>
    <t>MyMusicKit</t>
  </si>
  <si>
    <t>MyMusicLab</t>
  </si>
  <si>
    <t>MyNorthStarLab</t>
  </si>
  <si>
    <t>MyNSPKit</t>
  </si>
  <si>
    <t>MyNutritionLab</t>
  </si>
  <si>
    <t>MyNursingKit</t>
  </si>
  <si>
    <t>MyNursingLab</t>
  </si>
  <si>
    <t>MyOBLab</t>
  </si>
  <si>
    <t>MyOMLab</t>
  </si>
  <si>
    <t>MyPhilosophyKit</t>
  </si>
  <si>
    <t>MyPhilosophyLab</t>
  </si>
  <si>
    <t>MyPhotographyKit</t>
  </si>
  <si>
    <t>MyPoliSciKit</t>
  </si>
  <si>
    <t>MyPoliSciLab</t>
  </si>
  <si>
    <t>MyPortugueseLab</t>
  </si>
  <si>
    <t>MyProfessionalismKit</t>
  </si>
  <si>
    <t>MyProgrammingLab</t>
  </si>
  <si>
    <t>MyPsychKit</t>
  </si>
  <si>
    <t>MyPsychLab</t>
  </si>
  <si>
    <t>MyReadinessLab</t>
  </si>
  <si>
    <t>MyReadinessTest</t>
  </si>
  <si>
    <t>MyReadingLab</t>
  </si>
  <si>
    <t>MyReligionKit</t>
  </si>
  <si>
    <t>MyReligionLab</t>
  </si>
  <si>
    <t>MyRussianLab</t>
  </si>
  <si>
    <t>MySearchLab</t>
  </si>
  <si>
    <t>MyServSafeLab</t>
  </si>
  <si>
    <t>MySkillsLab</t>
  </si>
  <si>
    <t>MySocialPsychKit</t>
  </si>
  <si>
    <t>MySocialWorkLab</t>
  </si>
  <si>
    <t>MySocKit</t>
  </si>
  <si>
    <t>MySocLab</t>
  </si>
  <si>
    <t>MySocSpace</t>
  </si>
  <si>
    <t>MySpanishKit</t>
  </si>
  <si>
    <t>MySpanishLab</t>
  </si>
  <si>
    <t>MySpeechKit</t>
  </si>
  <si>
    <t>MySpeechLab</t>
  </si>
  <si>
    <t>MyStatLab</t>
  </si>
  <si>
    <t>MyStrategyLab</t>
  </si>
  <si>
    <t>MyStudentSuccessLab</t>
  </si>
  <si>
    <t>MyTechCommKit</t>
  </si>
  <si>
    <t>MyTechCommLab</t>
  </si>
  <si>
    <t>MyTechEdKit</t>
  </si>
  <si>
    <t>MyTest</t>
  </si>
  <si>
    <t>MyThinkingLab</t>
  </si>
  <si>
    <t>MyTopNotchLab</t>
  </si>
  <si>
    <t>MyVirtualChild</t>
  </si>
  <si>
    <t>MyVirtualLife</t>
  </si>
  <si>
    <t>MyVirtualTeen</t>
  </si>
  <si>
    <t>MyWeldingLab</t>
  </si>
  <si>
    <t>MyWritingLab</t>
  </si>
  <si>
    <t>NCCERconnect</t>
  </si>
  <si>
    <t>NCLEX Reviews and Rationales</t>
  </si>
  <si>
    <t>Nutrition Place</t>
  </si>
  <si>
    <t>OpenClass</t>
  </si>
  <si>
    <t>PDToolkit</t>
  </si>
  <si>
    <t>Pearson eText/eBook website</t>
  </si>
  <si>
    <t>Pearson IT Certification</t>
  </si>
  <si>
    <t>Pearson Language Tests</t>
  </si>
  <si>
    <t>Pearson ELT</t>
  </si>
  <si>
    <t>Pearson Writer</t>
  </si>
  <si>
    <t>PHStat</t>
  </si>
  <si>
    <t>The Physics Place</t>
  </si>
  <si>
    <t>PhysioEx</t>
  </si>
  <si>
    <t>The Physiology Place</t>
  </si>
  <si>
    <t>Practice Anatomy Lab</t>
  </si>
  <si>
    <t>Readypoint Nursing</t>
  </si>
  <si>
    <t>RealEHRPrep with Cerner</t>
  </si>
  <si>
    <t>Real Nursing Skills</t>
  </si>
  <si>
    <t>ScienceSource</t>
  </si>
  <si>
    <t>SNAB (UK)</t>
  </si>
  <si>
    <t>SPSS</t>
  </si>
  <si>
    <t>StatCrunch</t>
  </si>
  <si>
    <t>Teacher Development Interactive</t>
  </si>
  <si>
    <t>TestGen</t>
  </si>
  <si>
    <t>Virtual Chem</t>
  </si>
  <si>
    <t>Lab</t>
  </si>
  <si>
    <t>Words Their Way</t>
  </si>
  <si>
    <t>Abilene Christian University</t>
  </si>
  <si>
    <t>Aiken Technical College</t>
  </si>
  <si>
    <t>Ajman University of Science &amp; Technology</t>
  </si>
  <si>
    <t>Alabama Southern Community College</t>
  </si>
  <si>
    <t>Alabama State University</t>
  </si>
  <si>
    <t>Aliat Universidades</t>
  </si>
  <si>
    <t>Allen School</t>
  </si>
  <si>
    <t>American Career College (Division of West Coast University)</t>
  </si>
  <si>
    <t>American College of Health Sciences</t>
  </si>
  <si>
    <t>American Higher Education Development</t>
  </si>
  <si>
    <t>American Intercontinental University</t>
  </si>
  <si>
    <t>American Medical Academy</t>
  </si>
  <si>
    <t>American Museum of Natural History</t>
  </si>
  <si>
    <t>American University in Dubai</t>
  </si>
  <si>
    <t>American University of Sharjah</t>
  </si>
  <si>
    <t>American University of the Middle East</t>
  </si>
  <si>
    <t>Angelina College</t>
  </si>
  <si>
    <t>Angley College</t>
  </si>
  <si>
    <t>Anne Arundel Community College</t>
  </si>
  <si>
    <t>Anthem College</t>
  </si>
  <si>
    <t>Apollo Education- MyLabs</t>
  </si>
  <si>
    <t>Shelton State Community College</t>
  </si>
  <si>
    <t>Arapahoe Community College</t>
  </si>
  <si>
    <t>Arizona State University</t>
  </si>
  <si>
    <t>Arizona State University - Lake Havasu</t>
  </si>
  <si>
    <t>Arizona Western College</t>
  </si>
  <si>
    <t>Arkansas Northeastern College</t>
  </si>
  <si>
    <t>Arkansas State University</t>
  </si>
  <si>
    <t>Arkansas State University - Mountain Home</t>
  </si>
  <si>
    <t>Arkansas State University-Beebe</t>
  </si>
  <si>
    <t>Arkansas Tech University</t>
  </si>
  <si>
    <t>Asheville-Buncombe Technical Community College</t>
  </si>
  <si>
    <t>Athens Technical College</t>
  </si>
  <si>
    <t>Atlanta Technical College</t>
  </si>
  <si>
    <t>AulaAbierta (Pearson Latin America)</t>
  </si>
  <si>
    <t>Australian National University</t>
  </si>
  <si>
    <t>Aventa Learning</t>
  </si>
  <si>
    <t>Ayers Career College</t>
  </si>
  <si>
    <t>Azusa Pacific University</t>
  </si>
  <si>
    <t>Baker College</t>
  </si>
  <si>
    <t>Bakersfield College</t>
  </si>
  <si>
    <t>Baltimore City Community College</t>
  </si>
  <si>
    <t>Barton Online (Barton County Community College)</t>
  </si>
  <si>
    <t>Baton Rouge Community College</t>
  </si>
  <si>
    <t>Bellevue University</t>
  </si>
  <si>
    <t>Bismarck State College</t>
  </si>
  <si>
    <t>NDOnline - Bismarck State College</t>
  </si>
  <si>
    <t>Bladen Community College</t>
  </si>
  <si>
    <t>Blinn College</t>
  </si>
  <si>
    <t>BlueSky Charter School</t>
  </si>
  <si>
    <t>BMCC Online - Blue Mountain CC</t>
  </si>
  <si>
    <t>Boston College</t>
  </si>
  <si>
    <t>Brevard Community College</t>
  </si>
  <si>
    <t>Briarcliffe College</t>
  </si>
  <si>
    <t>Orangeburg Calhoun Technical College</t>
  </si>
  <si>
    <t>Bridgepoint - Ashford University</t>
  </si>
  <si>
    <t>Bridgepoint - University of the Rockies</t>
  </si>
  <si>
    <t>Bridgewater State University</t>
  </si>
  <si>
    <t>Brigham Young University</t>
  </si>
  <si>
    <t>Brigham Young University-Idaho</t>
  </si>
  <si>
    <t>Bristol Community College</t>
  </si>
  <si>
    <t>Brookhaven College</t>
  </si>
  <si>
    <t>Brookline College</t>
  </si>
  <si>
    <t>Broome Community College</t>
  </si>
  <si>
    <t>Broward College</t>
  </si>
  <si>
    <t>Brown College</t>
  </si>
  <si>
    <t>Bryant &amp; Stratton College</t>
  </si>
  <si>
    <t>Bucks County Community College</t>
  </si>
  <si>
    <t>Calhoun Community College</t>
  </si>
  <si>
    <t>California State University Bakersfield</t>
  </si>
  <si>
    <t>California State University-Northridge</t>
  </si>
  <si>
    <t>California University of Pennsylvania</t>
  </si>
  <si>
    <t>California University of Pennsylvania - MLP</t>
  </si>
  <si>
    <t>Camden County College</t>
  </si>
  <si>
    <t>Campus de las Americas</t>
  </si>
  <si>
    <t>Campus de las Matematicas</t>
  </si>
  <si>
    <t>Cape Fear Community College</t>
  </si>
  <si>
    <t>Careers Australia</t>
  </si>
  <si>
    <t>Carrington College - Campus</t>
  </si>
  <si>
    <t>Carrington College - Online</t>
  </si>
  <si>
    <t>Carrington College California - Campus</t>
  </si>
  <si>
    <t>Carrington College California - Online</t>
  </si>
  <si>
    <t>Carteret Community College</t>
  </si>
  <si>
    <t>CCHEA - (Community College Healthcare Education Alliance)</t>
  </si>
  <si>
    <t>CCI Corporate</t>
  </si>
  <si>
    <t>CCN Test Campus</t>
  </si>
  <si>
    <t>Cedar Crest</t>
  </si>
  <si>
    <t>Cedar Valley College</t>
  </si>
  <si>
    <t>Central Arizona College</t>
  </si>
  <si>
    <t>Central Michigan University</t>
  </si>
  <si>
    <t>Central Piedmont Community College (OPEN CLASS)</t>
  </si>
  <si>
    <t>Central Texas College</t>
  </si>
  <si>
    <t>Central Virginia Community College</t>
  </si>
  <si>
    <t>Cerritos College</t>
  </si>
  <si>
    <t>Chamberlain College of Nursing</t>
  </si>
  <si>
    <t>Chaminade University of Honolulu</t>
  </si>
  <si>
    <t>Chandler-Gilbert Community College</t>
  </si>
  <si>
    <t>Chapman University</t>
  </si>
  <si>
    <t>Charis Bible College</t>
  </si>
  <si>
    <t>Charleston Southern</t>
  </si>
  <si>
    <t>Chartered Institute of Public Finance and Accountancy - CIPFA</t>
  </si>
  <si>
    <t>Chattanooga State Community College</t>
  </si>
  <si>
    <t>Chemeketa Community College</t>
  </si>
  <si>
    <t>Cherry Creek- (Tapestry Client)</t>
  </si>
  <si>
    <t>Chesapeake College</t>
  </si>
  <si>
    <t>China Agricultural University</t>
  </si>
  <si>
    <t>Chippewa Valley Technical College</t>
  </si>
  <si>
    <t>City Colleges of Chicago Olive-Harvey College</t>
  </si>
  <si>
    <t>Clarkson College</t>
  </si>
  <si>
    <t>Class.com</t>
  </si>
  <si>
    <t>Clemson University</t>
  </si>
  <si>
    <t>Cleveland State CC</t>
  </si>
  <si>
    <t>Cochise College</t>
  </si>
  <si>
    <t>Coconino Community College</t>
  </si>
  <si>
    <t>College America Services, Inc.</t>
  </si>
  <si>
    <t>College for Financial Planning</t>
  </si>
  <si>
    <t>College of Central Florida</t>
  </si>
  <si>
    <t>College of Coastal Georgia</t>
  </si>
  <si>
    <t>College of DuPage</t>
  </si>
  <si>
    <t>College of Southern Nevada</t>
  </si>
  <si>
    <t>College of the Albemarle</t>
  </si>
  <si>
    <t>College of Western Idaho</t>
  </si>
  <si>
    <t>Collin College</t>
  </si>
  <si>
    <t>Collins College</t>
  </si>
  <si>
    <t>Colorado Christian University</t>
  </si>
  <si>
    <t>Colorado Community College Online</t>
  </si>
  <si>
    <t>Colorado State University</t>
  </si>
  <si>
    <t>Colorado Online Learning</t>
  </si>
  <si>
    <t>Colorado Technical University (CTU)</t>
  </si>
  <si>
    <t>Columbia CEES</t>
  </si>
  <si>
    <t>Columbia College</t>
  </si>
  <si>
    <t>Columbia School of Continuing Education</t>
  </si>
  <si>
    <t>Columbia School of Journalism</t>
  </si>
  <si>
    <t>Columbia Southern University</t>
  </si>
  <si>
    <t>Columbia State Community College</t>
  </si>
  <si>
    <t>Columbus State Community College</t>
  </si>
  <si>
    <t>Community College of Aurora</t>
  </si>
  <si>
    <t>Community College of Baltimore County</t>
  </si>
  <si>
    <t>Community College of Beaver County</t>
  </si>
  <si>
    <t>Community College of Denver</t>
  </si>
  <si>
    <t>Community College of Philadelphia</t>
  </si>
  <si>
    <t>CONAMAT (Pearson Latin Ameria)</t>
  </si>
  <si>
    <t>Concorde Career Online</t>
  </si>
  <si>
    <t>Condensed Curriculum International</t>
  </si>
  <si>
    <t>ConIngles</t>
  </si>
  <si>
    <t>Conservation Learning Campus</t>
  </si>
  <si>
    <t>Copenhagen Business School</t>
  </si>
  <si>
    <t>Copiah-Lincoln Community College</t>
  </si>
  <si>
    <t>Coppin State University</t>
  </si>
  <si>
    <t>Cox College</t>
  </si>
  <si>
    <t>Craven Community College</t>
  </si>
  <si>
    <t>CU Boulder- MLP</t>
  </si>
  <si>
    <t>Cumberland County College</t>
  </si>
  <si>
    <t>Cuyahoga Community College</t>
  </si>
  <si>
    <t>Cypress College</t>
  </si>
  <si>
    <t>Dabney Lancaster Community College</t>
  </si>
  <si>
    <t>Dade Medical College</t>
  </si>
  <si>
    <t>Dallas County Community College District</t>
  </si>
  <si>
    <t>Danville Community College</t>
  </si>
  <si>
    <t>Davenport University</t>
  </si>
  <si>
    <t>Daytona State College</t>
  </si>
  <si>
    <t>DC Online</t>
  </si>
  <si>
    <t>Delaware Technical and Community College</t>
  </si>
  <si>
    <t>Delaware Technical Community College</t>
  </si>
  <si>
    <t>Delta College</t>
  </si>
  <si>
    <t>DePaul University</t>
  </si>
  <si>
    <t>Detroit SLA - (Tapestry Client)</t>
  </si>
  <si>
    <t>Florida Atlantic University</t>
  </si>
  <si>
    <t>DeVry - Brasil</t>
  </si>
  <si>
    <t>American Public University System</t>
  </si>
  <si>
    <t>DeVry College of Continuing Education</t>
  </si>
  <si>
    <t>Community College of Rhode Island</t>
  </si>
  <si>
    <t>Devry Online</t>
  </si>
  <si>
    <t>Distance Education and Training Council (DETC)</t>
  </si>
  <si>
    <t>Duluth Business University</t>
  </si>
  <si>
    <t>Dyersburg State Community College</t>
  </si>
  <si>
    <t>East Central Community College</t>
  </si>
  <si>
    <t>Eastern Gateway Community College-Jefferson County Campus</t>
  </si>
  <si>
    <t>Eastern Michigan University (EMU)</t>
  </si>
  <si>
    <t>Eastern Shore Community College</t>
  </si>
  <si>
    <t>ECCL: Educational Consortium for Contextual Learning</t>
  </si>
  <si>
    <t>eCollege Direct</t>
  </si>
  <si>
    <t>eConcordia</t>
  </si>
  <si>
    <t>Edgecombe Community College</t>
  </si>
  <si>
    <t>Edinboro University of Pennsylvania</t>
  </si>
  <si>
    <t>Edison State College</t>
  </si>
  <si>
    <t>Edison State College (Lifelong Learning)</t>
  </si>
  <si>
    <t>Edith Cowan University</t>
  </si>
  <si>
    <t>EDMC - Argosy U OHE</t>
  </si>
  <si>
    <t>EDMC - Argosy University</t>
  </si>
  <si>
    <t>EDMC - Art Institute of Pittsburgh Online Division</t>
  </si>
  <si>
    <t>EDMC - Brown Mackie College</t>
  </si>
  <si>
    <t>EDMC - Miami International University Online (MIUO)</t>
  </si>
  <si>
    <t>EDMC - Socrates</t>
  </si>
  <si>
    <t>EDMC - South University</t>
  </si>
  <si>
    <t>EdTek</t>
  </si>
  <si>
    <t>Education Corp of America / Virginia College Online</t>
  </si>
  <si>
    <t>Education Online Services Corporation</t>
  </si>
  <si>
    <t>Education Online Services Corporation-Jackson State University</t>
  </si>
  <si>
    <t>Education Online Services Corporation-Langston University</t>
  </si>
  <si>
    <t>Education Online Services Corporation-Morris Brown College</t>
  </si>
  <si>
    <t>Education Online Services Corporation-Tougaloo College</t>
  </si>
  <si>
    <t>Education Online Services Corporation-Virginia University of Lynchburg</t>
  </si>
  <si>
    <t>Edukan - Barton, Dodge, Pratt</t>
  </si>
  <si>
    <t>Edukan - Colby</t>
  </si>
  <si>
    <t>Edukan - Garden City</t>
  </si>
  <si>
    <t>Edukan - Seward County</t>
  </si>
  <si>
    <t>El Paso Community College</t>
  </si>
  <si>
    <t>Edukan</t>
  </si>
  <si>
    <t>Eminata</t>
  </si>
  <si>
    <t>ePEN2</t>
  </si>
  <si>
    <t>Erasmus University</t>
  </si>
  <si>
    <t>Estrella Mountain Community College</t>
  </si>
  <si>
    <t>eTeaching Institute</t>
  </si>
  <si>
    <t>ETS SIR</t>
  </si>
  <si>
    <t>Everest</t>
  </si>
  <si>
    <t>Everglades University</t>
  </si>
  <si>
    <t>Ex'pression College</t>
  </si>
  <si>
    <t>Fairmont State University</t>
  </si>
  <si>
    <t>Fayetteville Tech Community College</t>
  </si>
  <si>
    <t>Felician College</t>
  </si>
  <si>
    <t>Financial Times</t>
  </si>
  <si>
    <t>Finlandia University</t>
  </si>
  <si>
    <t>Flathead Valley Community College</t>
  </si>
  <si>
    <t>Fleming College</t>
  </si>
  <si>
    <t>Florence Darlington Technical College</t>
  </si>
  <si>
    <t>Florida Atlantic University - MBA</t>
  </si>
  <si>
    <t>Florida Atlantic University - MLP</t>
  </si>
  <si>
    <t>Florida Atlantic University - Nursing</t>
  </si>
  <si>
    <t>Florida Career College</t>
  </si>
  <si>
    <t>Florida Gulf Coast University</t>
  </si>
  <si>
    <t>Florida International University</t>
  </si>
  <si>
    <t>Florida Southwestern State College</t>
  </si>
  <si>
    <t>Florida State College at Jacksonville</t>
  </si>
  <si>
    <t>Foothill College</t>
  </si>
  <si>
    <t>Forsyth Technical Community College</t>
  </si>
  <si>
    <t>Fox Valley Techincal College</t>
  </si>
  <si>
    <t>Franklin Pierce College</t>
  </si>
  <si>
    <t>Fremont College</t>
  </si>
  <si>
    <t>Front Range Community College</t>
  </si>
  <si>
    <t>Fuller Theological Seminary</t>
  </si>
  <si>
    <t>Galveston College</t>
  </si>
  <si>
    <t>Gaston College</t>
  </si>
  <si>
    <t>Gemological Institute of America</t>
  </si>
  <si>
    <t>George Mason University</t>
  </si>
  <si>
    <t>Georgia Northwestern Techincal College</t>
  </si>
  <si>
    <t>Georgia Piedmont Technical College</t>
  </si>
  <si>
    <t>Georgia State University</t>
  </si>
  <si>
    <t>Georgia Virtual Technical College</t>
  </si>
  <si>
    <t>Germanna Community College</t>
  </si>
  <si>
    <t>GlobalHealth</t>
  </si>
  <si>
    <t>Golden Gate University</t>
  </si>
  <si>
    <t>Golden Tulip</t>
  </si>
  <si>
    <t>Graceland University</t>
  </si>
  <si>
    <t>Graduate School of Banking</t>
  </si>
  <si>
    <t>Guam Community College</t>
  </si>
  <si>
    <t>Guilford Technical Community College</t>
  </si>
  <si>
    <t>Guld University of Science and Technology (GUST)</t>
  </si>
  <si>
    <t>Gulf Coast State College</t>
  </si>
  <si>
    <t>Gwinnett County Public Schools</t>
  </si>
  <si>
    <t>Gwinnett Technical College</t>
  </si>
  <si>
    <t>Hang up</t>
  </si>
  <si>
    <t>Durham Technical Community College</t>
  </si>
  <si>
    <t>Harrington College of Design</t>
  </si>
  <si>
    <t>Harris Stowe State University</t>
  </si>
  <si>
    <t>Harrisburg Area Community College</t>
  </si>
  <si>
    <t>Harrison Middleton University (HMU)</t>
  </si>
  <si>
    <t>Hartnell College</t>
  </si>
  <si>
    <t>Heald College</t>
  </si>
  <si>
    <t>Heart - NTA</t>
  </si>
  <si>
    <t>Heartland Community College</t>
  </si>
  <si>
    <t>Help University</t>
  </si>
  <si>
    <t>Hennepin Technical College</t>
  </si>
  <si>
    <t>Herzing College - Pilot</t>
  </si>
  <si>
    <t>Higher Colleges of Technology</t>
  </si>
  <si>
    <t>Highline Community College</t>
  </si>
  <si>
    <t>Hilton</t>
  </si>
  <si>
    <t>Hinds Community College</t>
  </si>
  <si>
    <t>HN E-Learning</t>
  </si>
  <si>
    <t>Holmes Community College</t>
  </si>
  <si>
    <t>Hong Kong University of Science and Technology</t>
  </si>
  <si>
    <t>Hope International University</t>
  </si>
  <si>
    <t>Houghton Mifflin</t>
  </si>
  <si>
    <t>Houston Community College</t>
  </si>
  <si>
    <t>HSLC - Access PA</t>
  </si>
  <si>
    <t>Hudson Valley Community College</t>
  </si>
  <si>
    <t>Humanities &amp; Science Academy Online (HSAO)</t>
  </si>
  <si>
    <t>Hunter College CUNY</t>
  </si>
  <si>
    <t>iEduPro</t>
  </si>
  <si>
    <t>IIA-International Institute of the Americas</t>
  </si>
  <si>
    <t>Illinois Central Community Unit School Distric 4 (CUSD-4)</t>
  </si>
  <si>
    <t>Illinois Virtual School</t>
  </si>
  <si>
    <t>Independence -(Tapestry Client)</t>
  </si>
  <si>
    <t>Indian River State College</t>
  </si>
  <si>
    <t>Indiana Department of Workforce Development ( Work One )</t>
  </si>
  <si>
    <t>Indiana State University</t>
  </si>
  <si>
    <t>Indiana University - Pilot</t>
  </si>
  <si>
    <t>Indiana University Southeast</t>
  </si>
  <si>
    <t>Indiana University-Purdue University Fort Wayne</t>
  </si>
  <si>
    <t>Indiana University-Purdue University Indiana</t>
  </si>
  <si>
    <t>Indiana University-Purdue University Indianapolis</t>
  </si>
  <si>
    <t>Indiana Wesleyan University</t>
  </si>
  <si>
    <t>Insight</t>
  </si>
  <si>
    <t>Institute for Advanced Dispute Resolution</t>
  </si>
  <si>
    <t>International Academy of Design &amp; Technology</t>
  </si>
  <si>
    <t>International Council of Shopping Centers (ICSC)</t>
  </si>
  <si>
    <t>Iolani Schools</t>
  </si>
  <si>
    <t>Iowa Community College Consortium</t>
  </si>
  <si>
    <t>Iowa State University</t>
  </si>
  <si>
    <t>Istanbul University</t>
  </si>
  <si>
    <t>Itawamba Community College</t>
  </si>
  <si>
    <t>ITLS (International Trauma Life Support)- pilot</t>
  </si>
  <si>
    <t>ITS Education Asia</t>
  </si>
  <si>
    <t>ITT MLP</t>
  </si>
  <si>
    <t>Ivy Bridge College of Tiffin University</t>
  </si>
  <si>
    <t>Ivy Tech Community College of Indiana - Central Office</t>
  </si>
  <si>
    <t>Jackson State Community College</t>
  </si>
  <si>
    <t>JiangXi University of Finance &amp; Economics</t>
  </si>
  <si>
    <t>John F. Kennedy University</t>
  </si>
  <si>
    <t>John Tyler Community College</t>
  </si>
  <si>
    <t>Johnston Community College</t>
  </si>
  <si>
    <t>Joliet Junior College</t>
  </si>
  <si>
    <t>Jones County Junior College</t>
  </si>
  <si>
    <t>JTED</t>
  </si>
  <si>
    <t>K12, Inc.</t>
  </si>
  <si>
    <t>Kankakee Community College</t>
  </si>
  <si>
    <t>Kansas City Kansas Community College</t>
  </si>
  <si>
    <t>Kaplan Academy of Arizona</t>
  </si>
  <si>
    <t>Kaplan Academy of California - Central</t>
  </si>
  <si>
    <t>Kaplan Academy of California - Los Angeles</t>
  </si>
  <si>
    <t>Kaplan Academy of California - North Central</t>
  </si>
  <si>
    <t>Kaplan Academy of California - San Diego</t>
  </si>
  <si>
    <t>Kaplan Academy of California - San Francisco Bay</t>
  </si>
  <si>
    <t>Kaplan Academy of Colorado</t>
  </si>
  <si>
    <t>Kaplan Academy of Idaho</t>
  </si>
  <si>
    <t>Kaplan Academy of Kansas</t>
  </si>
  <si>
    <t>Kaplan Academy of Oregon</t>
  </si>
  <si>
    <t>Kaplan Academy of Washington</t>
  </si>
  <si>
    <t>Kaplan Academy of Wisconsin</t>
  </si>
  <si>
    <t>LA Mission Itv College Campus</t>
  </si>
  <si>
    <t>Kaplan Continuing Education (KCE)</t>
  </si>
  <si>
    <t>Kaplan Open Learning (KOL)</t>
  </si>
  <si>
    <t>Kaplan University</t>
  </si>
  <si>
    <t>Kaplan Virtual Education - Agave Distance Learning</t>
  </si>
  <si>
    <t>Kaplan Virtual Education - California</t>
  </si>
  <si>
    <t>Kaplan Virtual Education - Camas Virtual Academy</t>
  </si>
  <si>
    <t>Kaplan Virtual Education - College Prepatory School</t>
  </si>
  <si>
    <t>Kaplan Virtual Education - Cougar Virtual Academy</t>
  </si>
  <si>
    <t>Kaplan Virtual Education - Florida</t>
  </si>
  <si>
    <t>Kaplan Virtual Education - High School</t>
  </si>
  <si>
    <t>Kaplan Virtual Education - LVS (Liberty Virtual Academy)</t>
  </si>
  <si>
    <t>Kaplan Virtual Education - Modesto Virtual Academy</t>
  </si>
  <si>
    <t>Kaplan Virtual Education - St. Louis Public Schools</t>
  </si>
  <si>
    <t>Kaplan Virtual Education - University High School</t>
  </si>
  <si>
    <t>Kaplan Virtual Education - Virginia</t>
  </si>
  <si>
    <t>Kaplan Virtual Education - Wisconsin</t>
  </si>
  <si>
    <t>Keiser Career College</t>
  </si>
  <si>
    <t>Keiser University</t>
  </si>
  <si>
    <t>Keiser University Graduate School</t>
  </si>
  <si>
    <t>Kent State University</t>
  </si>
  <si>
    <t>Kentucky Adult Education</t>
  </si>
  <si>
    <t>Kentucky Community Technical College Systems</t>
  </si>
  <si>
    <t>Kentucky Community Technical College Systems (OPEN CLASS)</t>
  </si>
  <si>
    <t>Keystone University</t>
  </si>
  <si>
    <t>King Abdulaziz University</t>
  </si>
  <si>
    <t>King Fahd University of Petroleum &amp; Minerals</t>
  </si>
  <si>
    <t>King Saud University</t>
  </si>
  <si>
    <t>Lake Forest Graduate School of Management</t>
  </si>
  <si>
    <t>Lake Region State College</t>
  </si>
  <si>
    <t>Lake Washington Institute of Technology</t>
  </si>
  <si>
    <t>Lakeland College</t>
  </si>
  <si>
    <t>Lamar Institute of Technology</t>
  </si>
  <si>
    <t>Lamar State College- Port Arthur</t>
  </si>
  <si>
    <t>Landmark School</t>
  </si>
  <si>
    <t>Lansing Community College</t>
  </si>
  <si>
    <t>Laramie County Community College</t>
  </si>
  <si>
    <t>Lauder Javne Jewish Community School and Kindergarten</t>
  </si>
  <si>
    <t>Laureate - International</t>
  </si>
  <si>
    <t>Laureate - Management</t>
  </si>
  <si>
    <t>Laureate - NTU School of Engineering and Applied Science</t>
  </si>
  <si>
    <t>Laureate - ONU (Olivet)</t>
  </si>
  <si>
    <t>Laureate - Psychology</t>
  </si>
  <si>
    <t>Laureate - Public Policy</t>
  </si>
  <si>
    <t>Laureate - SBSF</t>
  </si>
  <si>
    <t>Laureate Education</t>
  </si>
  <si>
    <t>Laureate Education Health Sciences/Nursing</t>
  </si>
  <si>
    <t>Laureate Education Inc. - Kendall</t>
  </si>
  <si>
    <t>Laureate Education Inc. - Sylvan (Top Level)</t>
  </si>
  <si>
    <t>Laureate Education MLP</t>
  </si>
  <si>
    <t>Laureate Education, Inc - Walden</t>
  </si>
  <si>
    <t>LCTCSOnline - Louisiana Community and Technical College System</t>
  </si>
  <si>
    <t>LearningStudio Campus 1</t>
  </si>
  <si>
    <t>LearningStudio Campus 2</t>
  </si>
  <si>
    <t>LearningStudio Campus 3</t>
  </si>
  <si>
    <t>LearningStudio Campus 4</t>
  </si>
  <si>
    <t>LearningStudio Campus 5</t>
  </si>
  <si>
    <t>LearningStudio Campus 6</t>
  </si>
  <si>
    <t>LearningStudio Experience</t>
  </si>
  <si>
    <t>LearningStudio Experience 1</t>
  </si>
  <si>
    <t>LearningStudio Experience 2</t>
  </si>
  <si>
    <t>LearningStudio Experience 3</t>
  </si>
  <si>
    <t>LearningStudio WSOD Campus 1</t>
  </si>
  <si>
    <t>LearningStudio WSOD Campus 2</t>
  </si>
  <si>
    <t>Leeds Metropolitan University (Leeds Met Online)</t>
  </si>
  <si>
    <t>Lehigh Carbon Community College</t>
  </si>
  <si>
    <t>Lenoir Community College</t>
  </si>
  <si>
    <t>Lexington Public Schools (Tapestry)</t>
  </si>
  <si>
    <t>Liberty University</t>
  </si>
  <si>
    <t>Lincoln Educational Services</t>
  </si>
  <si>
    <t>Lincoln Technical Institute - MLP</t>
  </si>
  <si>
    <t>Lingnan University</t>
  </si>
  <si>
    <t>Lock Haven University (of Pennsylvania)</t>
  </si>
  <si>
    <t>LOM CoCo</t>
  </si>
  <si>
    <t>London Metropolitan University</t>
  </si>
  <si>
    <t>Lone Star College System</t>
  </si>
  <si>
    <t>Los Angeles Mission –MLP</t>
  </si>
  <si>
    <t>Lower Columbia College</t>
  </si>
  <si>
    <t>Lurleen B Wallace Community College</t>
  </si>
  <si>
    <t>Maine State Department of Adult Education</t>
  </si>
  <si>
    <t>Malone University</t>
  </si>
  <si>
    <t>MarcoPolo Education Foundation</t>
  </si>
  <si>
    <t>Medical Education Review Program</t>
  </si>
  <si>
    <t>Melbourne University</t>
  </si>
  <si>
    <t>Merced College</t>
  </si>
  <si>
    <t>Mercy College of Northwest Ohio</t>
  </si>
  <si>
    <t>Meridian Community College</t>
  </si>
  <si>
    <t>Mesa Community College</t>
  </si>
  <si>
    <t>Metro Community College</t>
  </si>
  <si>
    <t>Miami Dade College</t>
  </si>
  <si>
    <t>Mid America Christian University</t>
  </si>
  <si>
    <t>Middlesex Community College</t>
  </si>
  <si>
    <t>Middlesex County College</t>
  </si>
  <si>
    <t>Midlands College</t>
  </si>
  <si>
    <t>Midlands Technical College</t>
  </si>
  <si>
    <t>Mid-South Community College</t>
  </si>
  <si>
    <t>Miles Community College</t>
  </si>
  <si>
    <t>Milwaukee Area Technical College</t>
  </si>
  <si>
    <t>Minnesota Transitions Charter School</t>
  </si>
  <si>
    <t>MIS Training Institute</t>
  </si>
  <si>
    <t>Mississippi Online Learning Institute - MOLLI</t>
  </si>
  <si>
    <t>Missouri College</t>
  </si>
  <si>
    <t>Missouri Online Higher Education Consortium</t>
  </si>
  <si>
    <t>Missouri Southern State University</t>
  </si>
  <si>
    <t>MLP Training Campus</t>
  </si>
  <si>
    <t>Modesto Junior College</t>
  </si>
  <si>
    <t>Mohawk Valley Community College</t>
  </si>
  <si>
    <t>Monash University</t>
  </si>
  <si>
    <t>Monroe Community College</t>
  </si>
  <si>
    <t>Montana Law Enforcement Academy</t>
  </si>
  <si>
    <t>Montana State University - Billings</t>
  </si>
  <si>
    <t>Montclair State University</t>
  </si>
  <si>
    <t>Montgomery College</t>
  </si>
  <si>
    <t>Moraine Park Technical College</t>
  </si>
  <si>
    <t>MorseLife</t>
  </si>
  <si>
    <t>Mountain Empire Community College</t>
  </si>
  <si>
    <t>Mountwest Community and Technical College</t>
  </si>
  <si>
    <t>Mt. Sierra College</t>
  </si>
  <si>
    <t>MTI College</t>
  </si>
  <si>
    <t>MyLabs BB - Baker</t>
  </si>
  <si>
    <t>MyLabs BB - Cape Fear Community College</t>
  </si>
  <si>
    <t>MyLabs BB - Columbia Southern University</t>
  </si>
  <si>
    <t>MyLabs BB - Embry Riddle Aeronautical University</t>
  </si>
  <si>
    <t>MyLabs BB - Hinds Community College</t>
  </si>
  <si>
    <t>MyLabs BB - John Tyler Community College</t>
  </si>
  <si>
    <t>MyLabs BB - Kentucky Community and Technical College System</t>
  </si>
  <si>
    <t>MyLabs BB - Milwaukee Area Technical College</t>
  </si>
  <si>
    <t>MyLabs BB - Schoolcraft College</t>
  </si>
  <si>
    <t>MyLabs BB - Seton Hall University</t>
  </si>
  <si>
    <t>MyLabs Training Campus</t>
  </si>
  <si>
    <t>MyLabs Vista - Broward Community College</t>
  </si>
  <si>
    <t>MyLabs Vista - CCCS - Frontrange</t>
  </si>
  <si>
    <t>MyLabs Vista - Edison State College</t>
  </si>
  <si>
    <t>MyLabs Vista - Gateway Community College</t>
  </si>
  <si>
    <t>MyLabs Vista - Georgia Perimeter College</t>
  </si>
  <si>
    <t>MyLabs Vista - Harrisburg Area Community College</t>
  </si>
  <si>
    <t>MyLabs Vista - University of Florida</t>
  </si>
  <si>
    <t>MyLabs Vista - USG Abraham Baldwin</t>
  </si>
  <si>
    <t>MyLabs Vista - USG Augusta State</t>
  </si>
  <si>
    <t>MyLabs Vista - USG Fort Valley State</t>
  </si>
  <si>
    <t>MyLabs Vista - USG Georgia Gwinnett College</t>
  </si>
  <si>
    <t>MyLabs Vista - USG Kennesaw State University</t>
  </si>
  <si>
    <t>MyLabs Vista - USG Macon State</t>
  </si>
  <si>
    <t>MyLabs Vista - USG Middle Georgia College</t>
  </si>
  <si>
    <t>MyLabs Vista - Valencia CC West</t>
  </si>
  <si>
    <t>NanYang Technological University</t>
  </si>
  <si>
    <t>Naropa University</t>
  </si>
  <si>
    <t>Nash Community College</t>
  </si>
  <si>
    <t>Nashville State Community College</t>
  </si>
  <si>
    <t>Nat Assoc Insurance Commission (National Association Insurance Commission)</t>
  </si>
  <si>
    <t>National Academy Foundation- NAF</t>
  </si>
  <si>
    <t>National Automobile Dealers Association</t>
  </si>
  <si>
    <t>National Park Community College</t>
  </si>
  <si>
    <t>NAU - Extended Campuses</t>
  </si>
  <si>
    <t>Neumann University</t>
  </si>
  <si>
    <t>New England College of Business (NECB)</t>
  </si>
  <si>
    <t>New River Community College</t>
  </si>
  <si>
    <t>Newbridge College</t>
  </si>
  <si>
    <t>Ngee Ann Polytechnic</t>
  </si>
  <si>
    <t>Niagara County Community College</t>
  </si>
  <si>
    <t>Non-Public Educational Services Inc (NESI)</t>
  </si>
  <si>
    <t>Normandale Community College</t>
  </si>
  <si>
    <t>North Arkansas College</t>
  </si>
  <si>
    <t>North Carolina A&amp;T</t>
  </si>
  <si>
    <t>North Central Texas College</t>
  </si>
  <si>
    <t>North Dakota Center for Distance Education</t>
  </si>
  <si>
    <t>North Dakota State College of Science</t>
  </si>
  <si>
    <t>North Dakota University System</t>
  </si>
  <si>
    <t>North Georgia Technical College</t>
  </si>
  <si>
    <t>North Hennepin Community College</t>
  </si>
  <si>
    <t>North Lake College</t>
  </si>
  <si>
    <t>North Shore Community College</t>
  </si>
  <si>
    <t>Northeast State Community College</t>
  </si>
  <si>
    <t>Northern Arizona University</t>
  </si>
  <si>
    <t>Northern Arizona University - MLP</t>
  </si>
  <si>
    <t>Northern Essex Community College</t>
  </si>
  <si>
    <t>Northern Virginia Community College</t>
  </si>
  <si>
    <t>Northwest Missouri State University</t>
  </si>
  <si>
    <t>Northwest Shoals Community College</t>
  </si>
  <si>
    <t>Northwestern College</t>
  </si>
  <si>
    <t>Northwood University</t>
  </si>
  <si>
    <t>Nova Scotia Community College</t>
  </si>
  <si>
    <t>Nursing Program Solutions</t>
  </si>
  <si>
    <t>Nyack Distance Learning</t>
  </si>
  <si>
    <t>Oakton Community College</t>
  </si>
  <si>
    <t>Ocean County College</t>
  </si>
  <si>
    <t>Oklahoma City Community College</t>
  </si>
  <si>
    <t>Oklahoma Panhandle State University</t>
  </si>
  <si>
    <t>Old Dominion University</t>
  </si>
  <si>
    <t>Olympic College</t>
  </si>
  <si>
    <t>Omnitech Institute</t>
  </si>
  <si>
    <t>Online Educational Center</t>
  </si>
  <si>
    <t>Ontario Alliance</t>
  </si>
  <si>
    <t>Oregon State University</t>
  </si>
  <si>
    <t>Orlando Medical Institute</t>
  </si>
  <si>
    <t>OSF Healthcare</t>
  </si>
  <si>
    <t>Owens Community College</t>
  </si>
  <si>
    <t>Oxford Community Schools (Tapestry)</t>
  </si>
  <si>
    <t>Pacific Oaks College</t>
  </si>
  <si>
    <t>Palm Beach Atlantic University</t>
  </si>
  <si>
    <t>Palmer Online (Palmer Institute)</t>
  </si>
  <si>
    <t>Palo Alto University</t>
  </si>
  <si>
    <t>Paradise Valley Community College</t>
  </si>
  <si>
    <t>Park University</t>
  </si>
  <si>
    <t>Pasco School District</t>
  </si>
  <si>
    <t>Pasco-Hernando Community College</t>
  </si>
  <si>
    <t>Passaic County Community College</t>
  </si>
  <si>
    <t>Patrick Henry Community College</t>
  </si>
  <si>
    <t>Paul D. Camp Community College</t>
  </si>
  <si>
    <t>Pearl River Community College</t>
  </si>
  <si>
    <t>Pearson College</t>
  </si>
  <si>
    <t>Pearson International MyLabsPlus Demo</t>
  </si>
  <si>
    <t>Pearson Learning Studio Case Western</t>
  </si>
  <si>
    <t>Pearson Learning Studio Ocean County</t>
  </si>
  <si>
    <t>Pearson MyLabs Plus - Front Range Community College</t>
  </si>
  <si>
    <t>Pearson MyLabs Plus - Hallmark</t>
  </si>
  <si>
    <t>Pearson MyLabs Plus - Hawaii Pacific University</t>
  </si>
  <si>
    <t>Pearson MyLabs Plus - INTO</t>
  </si>
  <si>
    <t>Pearson MyLabs Plus - Louisiana State University</t>
  </si>
  <si>
    <t>Pearson MyLabs Plus - Regency Online Degree Program (RODP)</t>
  </si>
  <si>
    <t>Pearson MyLabs Plus - San Franciso State University</t>
  </si>
  <si>
    <t>Pearson MyLabs Plus - Volunteer State</t>
  </si>
  <si>
    <t>Pearson MyLabs Plus - Wentworth Institute of Technology</t>
  </si>
  <si>
    <t>Pearson Neighborhood</t>
  </si>
  <si>
    <t>Pearson Professional Development International</t>
  </si>
  <si>
    <t>Pearson SAS</t>
  </si>
  <si>
    <t>Peirce College</t>
  </si>
  <si>
    <t>Penn State University</t>
  </si>
  <si>
    <t>Pennsylvania College of Optometry (PCO) (Now Salus)</t>
  </si>
  <si>
    <t>Pensacola State College</t>
  </si>
  <si>
    <t>Piedmont Community College</t>
  </si>
  <si>
    <t>Piedmont Technical College</t>
  </si>
  <si>
    <t>Pierpont Community and Technical College</t>
  </si>
  <si>
    <t>Pikes Peak Community College</t>
  </si>
  <si>
    <t>Pima Community College</t>
  </si>
  <si>
    <t>Pitt Community College</t>
  </si>
  <si>
    <t>Plainedge - (Tapestry client)</t>
  </si>
  <si>
    <t>Plato College of Higher Education</t>
  </si>
  <si>
    <t>Platt College</t>
  </si>
  <si>
    <t>Polytechnic University</t>
  </si>
  <si>
    <t>Portland Community College</t>
  </si>
  <si>
    <t>Portland State University</t>
  </si>
  <si>
    <t>Potomac College</t>
  </si>
  <si>
    <t>Pratt Community College</t>
  </si>
  <si>
    <t>Prince Georges Community College</t>
  </si>
  <si>
    <t>Prince Sultan University</t>
  </si>
  <si>
    <t>Princess Noura University</t>
  </si>
  <si>
    <t>Professional Career Development Institute (Ashworth University Career Programs)</t>
  </si>
  <si>
    <t>Professional Career Development Institute (Ashworth University High School)</t>
  </si>
  <si>
    <t>Professional Services</t>
  </si>
  <si>
    <t>Propero</t>
  </si>
  <si>
    <t>Pueblo Community College</t>
  </si>
  <si>
    <t>Pulaski Technical College</t>
  </si>
  <si>
    <t>Qatar University</t>
  </si>
  <si>
    <t>Queensland University of Technology</t>
  </si>
  <si>
    <t>Quest Academy</t>
  </si>
  <si>
    <t>Rappahannock Community College</t>
  </si>
  <si>
    <t>Raritan Valley Community College</t>
  </si>
  <si>
    <t>Rasmussen - PILOT SCHOOL</t>
  </si>
  <si>
    <t>Rasmussen College</t>
  </si>
  <si>
    <t>Reading Area Community College</t>
  </si>
  <si>
    <t>Realtor University - DeVry</t>
  </si>
  <si>
    <t>Regents College</t>
  </si>
  <si>
    <t>Republic Polytechnic</t>
  </si>
  <si>
    <t>Resurrection University</t>
  </si>
  <si>
    <t>Riverside Community College</t>
  </si>
  <si>
    <t>Roane State Community College</t>
  </si>
  <si>
    <t>Robert Morris University MLP</t>
  </si>
  <si>
    <t>Robeson Community College</t>
  </si>
  <si>
    <t>Rochester Community and Technical College</t>
  </si>
  <si>
    <t>Rockingham Community College</t>
  </si>
  <si>
    <t>Rogue Community College</t>
  </si>
  <si>
    <t>Roosevelt University</t>
  </si>
  <si>
    <t>Ross University</t>
  </si>
  <si>
    <t>Rowan Cabarrus Community College</t>
  </si>
  <si>
    <t>Royal Melbourne Institute of Technology</t>
  </si>
  <si>
    <t>Rutgers the State University of New Jersey</t>
  </si>
  <si>
    <t>Ryerson University</t>
  </si>
  <si>
    <t>Saint Joseph's University</t>
  </si>
  <si>
    <t>Saint Leo University</t>
  </si>
  <si>
    <t>Saint Michaels College</t>
  </si>
  <si>
    <t>Salt Lake Community College</t>
  </si>
  <si>
    <t>Sam Houston State University (SHSU)</t>
  </si>
  <si>
    <t>Sampson Community College</t>
  </si>
  <si>
    <t>Samuel Jackman Prescod Polytechnic (SJPP)</t>
  </si>
  <si>
    <t>San Jacinto Community College</t>
  </si>
  <si>
    <t>San Joaquin Delta College</t>
  </si>
  <si>
    <t>San Joaquin Valley College</t>
  </si>
  <si>
    <t>San Mateo County Community College District</t>
  </si>
  <si>
    <t>Sanford-Brown College</t>
  </si>
  <si>
    <t>Santa Ana College</t>
  </si>
  <si>
    <t>Santa Barbara Business College</t>
  </si>
  <si>
    <t>Santa Barbara Graduate Institute</t>
  </si>
  <si>
    <t>Santa Fe College</t>
  </si>
  <si>
    <t>Santa Monica College</t>
  </si>
  <si>
    <t>Sarasota County Tech (SCTI)</t>
  </si>
  <si>
    <t>Saudi Electronic University</t>
  </si>
  <si>
    <t>Savannah Tech</t>
  </si>
  <si>
    <t>Schenectady County Community College</t>
  </si>
  <si>
    <t>Schiller International University</t>
  </si>
  <si>
    <t>School of Health Management</t>
  </si>
  <si>
    <t>Schoolcraft College MLP</t>
  </si>
  <si>
    <t>Securitas Online University</t>
  </si>
  <si>
    <t>Seton Hall</t>
  </si>
  <si>
    <t>Siena Heights University</t>
  </si>
  <si>
    <t>Sierra College</t>
  </si>
  <si>
    <t>Silver State High School</t>
  </si>
  <si>
    <t>Simmons College</t>
  </si>
  <si>
    <t>Sinclair Community College</t>
  </si>
  <si>
    <t>Singapore Polytechnic</t>
  </si>
  <si>
    <t>Singapore University of Technology and Design</t>
  </si>
  <si>
    <t>SOLANOnline</t>
  </si>
  <si>
    <t>Soldiers Heart</t>
  </si>
  <si>
    <t>Somerset Community College</t>
  </si>
  <si>
    <t>South Arkansas Community College</t>
  </si>
  <si>
    <t>South Dakota Board of Regents</t>
  </si>
  <si>
    <t>South Dakota Virtual Campus</t>
  </si>
  <si>
    <t>South Mountain Community College</t>
  </si>
  <si>
    <t>South Surburban Community College</t>
  </si>
  <si>
    <t>South Texas College</t>
  </si>
  <si>
    <t>Southeast Community College</t>
  </si>
  <si>
    <t>Southeast Missouri State</t>
  </si>
  <si>
    <t>Southeastern Institute</t>
  </si>
  <si>
    <t>Southeastern University</t>
  </si>
  <si>
    <t>Southeastern University-MLP</t>
  </si>
  <si>
    <t>Southern Illinois University SUIC – Carbondale</t>
  </si>
  <si>
    <t>Southern Regional Education Board</t>
  </si>
  <si>
    <t>Southgate - (Tapestry Client)</t>
  </si>
  <si>
    <t>Southside Virginia Community College</t>
  </si>
  <si>
    <t>Southwest Florida College (SWFC)</t>
  </si>
  <si>
    <t>Southwest Tennessee Community College</t>
  </si>
  <si>
    <t>Southwest Virginia Community College</t>
  </si>
  <si>
    <t>SPAM</t>
  </si>
  <si>
    <t>Spartan</t>
  </si>
  <si>
    <t>Spectrum - BPI</t>
  </si>
  <si>
    <t>Spectrum - Law School</t>
  </si>
  <si>
    <t>Spectrum - National University - (COLS)</t>
  </si>
  <si>
    <t>Spectrum - National University - (EL)</t>
  </si>
  <si>
    <t>Spectrum - National University - (NPCEO)</t>
  </si>
  <si>
    <t>Spectrum - National University - (NUSOE)</t>
  </si>
  <si>
    <t>Spectrum - National University - (NUVHS)</t>
  </si>
  <si>
    <t>Spectrum - National University - (SHHS)</t>
  </si>
  <si>
    <t>Spectrum - National University - (SOBM)</t>
  </si>
  <si>
    <t>Spectrum - National University - (SOET)</t>
  </si>
  <si>
    <t>Spectrum - National University - (SOMC)</t>
  </si>
  <si>
    <t>Spectrum - National University - (SOPS)</t>
  </si>
  <si>
    <t>Spectrum - San Diego Golf Academy</t>
  </si>
  <si>
    <t>Spencerian College Lexington Campus</t>
  </si>
  <si>
    <t>Spencerian College Louisville Campus:</t>
  </si>
  <si>
    <t>SPL - (MJI) Michigan Jewish International</t>
  </si>
  <si>
    <t>SPL - (PHC) Patrick Henry College</t>
  </si>
  <si>
    <t>SPL - (PHC) Prep Academy</t>
  </si>
  <si>
    <t>SPL - Cambridge</t>
  </si>
  <si>
    <t>SPL - Cooper Institute</t>
  </si>
  <si>
    <t>SPL - Fashion Career College</t>
  </si>
  <si>
    <t>SPL - Metro</t>
  </si>
  <si>
    <t>SPL - Saybrook</t>
  </si>
  <si>
    <t>SPL - Stanbridge</t>
  </si>
  <si>
    <t>Spring Hill College</t>
  </si>
  <si>
    <t>St. Cloud State University</t>
  </si>
  <si>
    <t>St. Louis Community College</t>
  </si>
  <si>
    <t>St. Louis University</t>
  </si>
  <si>
    <t>Stanford (EPGY)</t>
  </si>
  <si>
    <t>Stark State College</t>
  </si>
  <si>
    <t>Starwood  (Starwood Hotels and Resorts)</t>
  </si>
  <si>
    <t>State Fair Community College</t>
  </si>
  <si>
    <t>Stephen F. Austin State University</t>
  </si>
  <si>
    <t>Strayer University</t>
  </si>
  <si>
    <t>Strayer University - MyLabsPlus</t>
  </si>
  <si>
    <t>Sullivan College of Technology &amp; Design</t>
  </si>
  <si>
    <t>Sullivan University</t>
  </si>
  <si>
    <t>SUNY Empire State College</t>
  </si>
  <si>
    <t>Swinburne University of Technology</t>
  </si>
  <si>
    <t>Taibah University</t>
  </si>
  <si>
    <t>Talisma Information</t>
  </si>
  <si>
    <t>Tallahassee Community College</t>
  </si>
  <si>
    <t>Technical College of the Lowcountry</t>
  </si>
  <si>
    <t>Temple College</t>
  </si>
  <si>
    <t>Temple University- Pilot School</t>
  </si>
  <si>
    <t>Tennessee Board of Regents</t>
  </si>
  <si>
    <t>Tennessee State University</t>
  </si>
  <si>
    <t>TERC</t>
  </si>
  <si>
    <t>Test</t>
  </si>
  <si>
    <t>Test Server</t>
  </si>
  <si>
    <t>Texas A&amp;M - Commerce</t>
  </si>
  <si>
    <t>Texas A &amp; M- Corpus Christi</t>
  </si>
  <si>
    <t>Texas A&amp;M International University</t>
  </si>
  <si>
    <t>Texas A&amp;M University</t>
  </si>
  <si>
    <t>Texas Christian University (TCU)</t>
  </si>
  <si>
    <t>Texas Southern University</t>
  </si>
  <si>
    <t>The Chicago School of Professional Psychology</t>
  </si>
  <si>
    <t>The Ohio State University Main Campus</t>
  </si>
  <si>
    <t>The University of Akron, Main Campus MLP</t>
  </si>
  <si>
    <t>Thomas Nelson Community College</t>
  </si>
  <si>
    <t>Three Rivers Community College</t>
  </si>
  <si>
    <t>Tidewater Community College</t>
  </si>
  <si>
    <t>Tiffin University</t>
  </si>
  <si>
    <t>Tiffin University MLP</t>
  </si>
  <si>
    <t>TNOW</t>
  </si>
  <si>
    <t>Tri-County Technical College</t>
  </si>
  <si>
    <t>Trident Technical College</t>
  </si>
  <si>
    <t>TriState Community College</t>
  </si>
  <si>
    <t>Troy University</t>
  </si>
  <si>
    <t>Tulsa Community College</t>
  </si>
  <si>
    <t>Tyler Junior College</t>
  </si>
  <si>
    <t>UAT (University of Advancing Technology)</t>
  </si>
  <si>
    <t>UCP Marjon Online</t>
  </si>
  <si>
    <t>UiTM</t>
  </si>
  <si>
    <t>UNID (Pearson Latin America Pilot)</t>
  </si>
  <si>
    <t>Union Institute &amp; University</t>
  </si>
  <si>
    <t>UniSIM</t>
  </si>
  <si>
    <t>United Education Institute MLP</t>
  </si>
  <si>
    <t>Universal Technical Institute</t>
  </si>
  <si>
    <t>Universidad APEC</t>
  </si>
  <si>
    <t>Universidad de Santander UDES</t>
  </si>
  <si>
    <t>Universidad Mayor</t>
  </si>
  <si>
    <t>Universidad Metropolitana de Monterrey</t>
  </si>
  <si>
    <t>Universidad Tecnologica Latinoamericana en Linea</t>
  </si>
  <si>
    <t>Universidad Tecnológica Nacional</t>
  </si>
  <si>
    <t>Universidad Virtual Educanet</t>
  </si>
  <si>
    <t>Universiteit Twente</t>
  </si>
  <si>
    <t>University College Commonwealth School at WKU</t>
  </si>
  <si>
    <t>University of Agder</t>
  </si>
  <si>
    <t>University of Akron</t>
  </si>
  <si>
    <t>University of Alabama</t>
  </si>
  <si>
    <t>University of Georgia</t>
  </si>
  <si>
    <t>University of Alabama Huntsville</t>
  </si>
  <si>
    <t>University of Alaska Anchorage</t>
  </si>
  <si>
    <t>University of Antelope Valley</t>
  </si>
  <si>
    <t>University of Arizona</t>
  </si>
  <si>
    <t>University of Arkansas</t>
  </si>
  <si>
    <t>University of Arkansas - Ft. Smith</t>
  </si>
  <si>
    <t>University of British Columbia</t>
  </si>
  <si>
    <t>University of California Riverside</t>
  </si>
  <si>
    <t>University of Central Arkansas</t>
  </si>
  <si>
    <t>University of Central Florida</t>
  </si>
  <si>
    <t>University of Central Floriday ASTRONOMY</t>
  </si>
  <si>
    <t>University of Colorado at Colorado Springs</t>
  </si>
  <si>
    <t>University of Colorado Online</t>
  </si>
  <si>
    <t>University of Connecticut</t>
  </si>
  <si>
    <t>University of Dallas</t>
  </si>
  <si>
    <t>University of Dammam</t>
  </si>
  <si>
    <t>University of Denver - (DU)</t>
  </si>
  <si>
    <t>University of Fairfax</t>
  </si>
  <si>
    <t>University of Hawaii - Manoa</t>
  </si>
  <si>
    <t>University of Hawaii Maui College</t>
  </si>
  <si>
    <t>University of Idaho</t>
  </si>
  <si>
    <t>University of Johannesburg</t>
  </si>
  <si>
    <t>University of Kansas</t>
  </si>
  <si>
    <t>University of Kentucky (OPEN CLASS)</t>
  </si>
  <si>
    <t>University of KwaZulu-Natal</t>
  </si>
  <si>
    <t>University of Macau</t>
  </si>
  <si>
    <t>University of Malaysia Sabah</t>
  </si>
  <si>
    <t>University of Maryland Eastern Shore</t>
  </si>
  <si>
    <t>University of Missouri - Kansas City</t>
  </si>
  <si>
    <t>University of Missouri - St. Louis</t>
  </si>
  <si>
    <t>University of Montana</t>
  </si>
  <si>
    <t>University of Nebraska - Omaha</t>
  </si>
  <si>
    <t>University of New Brunswick</t>
  </si>
  <si>
    <t>University of New England</t>
  </si>
  <si>
    <t>University of New England - Australia</t>
  </si>
  <si>
    <t>University of New England - Australia Test</t>
  </si>
  <si>
    <t>University of New Mexico</t>
  </si>
  <si>
    <t>University of Newcastle</t>
  </si>
  <si>
    <t>University of North Alabama</t>
  </si>
  <si>
    <t>University of Oklahoma Norman Campus</t>
  </si>
  <si>
    <t>University of Pennsylvania (University of Pennsylvania Advance Program)</t>
  </si>
  <si>
    <t>University of Phoenix UOP - Nursing Neighborhood</t>
  </si>
  <si>
    <t>University of Rhode Island - MLP</t>
  </si>
  <si>
    <t>University of Roehampton</t>
  </si>
  <si>
    <t>University of Sharjah</t>
  </si>
  <si>
    <t>University of South Africa</t>
  </si>
  <si>
    <t>University of South Alabama</t>
  </si>
  <si>
    <t>University of South Alabama (MLP)</t>
  </si>
  <si>
    <t>University Of South Australia</t>
  </si>
  <si>
    <t>University of South Florida</t>
  </si>
  <si>
    <t>University of Southern Indiana</t>
  </si>
  <si>
    <t>University of Southern Mississippi</t>
  </si>
  <si>
    <t>University of Sunderland</t>
  </si>
  <si>
    <t>University of Sunderland Test</t>
  </si>
  <si>
    <t>University of Sydney</t>
  </si>
  <si>
    <t>University of Technology Sydney</t>
  </si>
  <si>
    <t>University of Texas - Arlington</t>
  </si>
  <si>
    <t>University of Texas at Arlington</t>
  </si>
  <si>
    <t>University of Toledo</t>
  </si>
  <si>
    <t>University of Toronto</t>
  </si>
  <si>
    <t>University of Toronto-MLP</t>
  </si>
  <si>
    <t>University of Virginia</t>
  </si>
  <si>
    <t>University of Western Ontario</t>
  </si>
  <si>
    <t>University of Western Sydney</t>
  </si>
  <si>
    <t>University of Windsor</t>
  </si>
  <si>
    <t>University of Wisconsin-Madison</t>
  </si>
  <si>
    <t>University of Witwatersrand</t>
  </si>
  <si>
    <t>University of Wyoming</t>
  </si>
  <si>
    <t>Unknown</t>
  </si>
  <si>
    <t>Upper Iowa University - UIU</t>
  </si>
  <si>
    <t>Uskudar American Academy</t>
  </si>
  <si>
    <t>Utah Valley University</t>
  </si>
  <si>
    <t>Utrecht University</t>
  </si>
  <si>
    <t>Valencia Community College</t>
  </si>
  <si>
    <t>Vatterott Educational Centers Inc.</t>
  </si>
  <si>
    <t>Veris Education</t>
  </si>
  <si>
    <t>Vieduca (Central America)</t>
  </si>
  <si>
    <t>Virginia International University</t>
  </si>
  <si>
    <t>Virginia University of Lynchburg</t>
  </si>
  <si>
    <t>Virginia Western Community College</t>
  </si>
  <si>
    <t>Virtual High School. Inc.</t>
  </si>
  <si>
    <t>Volunteer State Community College</t>
  </si>
  <si>
    <t>Vrije Universiteit Amsterdam</t>
  </si>
  <si>
    <t>Wake Technical Community College</t>
  </si>
  <si>
    <t>Walters State Community College</t>
  </si>
  <si>
    <t>Washington Online</t>
  </si>
  <si>
    <t>Washington State University</t>
  </si>
  <si>
    <t>Wayne Community College</t>
  </si>
  <si>
    <t>Wayne State University</t>
  </si>
  <si>
    <t>Weatherford College</t>
  </si>
  <si>
    <t>Weber State University</t>
  </si>
  <si>
    <t>West Coast University</t>
  </si>
  <si>
    <t>West Virginia Junior College</t>
  </si>
  <si>
    <t>West Virginia University (MyLabsPlus)</t>
  </si>
  <si>
    <t>West Virginia University</t>
  </si>
  <si>
    <t>Western Career College</t>
  </si>
  <si>
    <t>Western Governors University</t>
  </si>
  <si>
    <t>Westmont Hilltop -(Tapestry Client)</t>
  </si>
  <si>
    <t>Westmoreland County Community College [WCCC]</t>
  </si>
  <si>
    <t>William Penn</t>
  </si>
  <si>
    <t>Wiregrass Georgia Technical College</t>
  </si>
  <si>
    <t>Wisconsin Virtual School</t>
  </si>
  <si>
    <t>Wor-Wic Community College</t>
  </si>
  <si>
    <t>Wyoming eAcademy of Virtual Education - Weave</t>
  </si>
  <si>
    <t>Wytheville Community College</t>
  </si>
  <si>
    <t>Xi an Jiaotong-Liverpool University</t>
  </si>
  <si>
    <t>Yale University</t>
  </si>
  <si>
    <t>Yavapai College</t>
  </si>
  <si>
    <t>Youngstown State University</t>
  </si>
  <si>
    <t>Learning Studio/MyLabsPlus Schools</t>
  </si>
  <si>
    <t>Transferred Call/Chat?</t>
  </si>
  <si>
    <t>Transaction Type</t>
  </si>
  <si>
    <t>Account Security</t>
  </si>
  <si>
    <t>Product Mismatch</t>
  </si>
  <si>
    <t>Expired Access Code</t>
  </si>
  <si>
    <t>Already Used Access Code</t>
  </si>
  <si>
    <t>Blank/Missing Access Code</t>
  </si>
  <si>
    <t>Unreadable Access Code</t>
  </si>
  <si>
    <t>Retaking a Course</t>
  </si>
  <si>
    <t>Multi-semester/Continuation course</t>
  </si>
  <si>
    <t>Taking simultaneous course at the same time</t>
  </si>
  <si>
    <t>Subscription is already expired</t>
  </si>
  <si>
    <t>AccessC1</t>
  </si>
  <si>
    <t>AccountS1</t>
  </si>
  <si>
    <t>Account information requests</t>
  </si>
  <si>
    <t>Email address changes/corrections</t>
  </si>
  <si>
    <t>Name changes/corrections</t>
  </si>
  <si>
    <t>Username/Login Name or Password change requests</t>
  </si>
  <si>
    <t>Transferring an account to another person</t>
  </si>
  <si>
    <t>Select the client process violated (if applicable)</t>
  </si>
  <si>
    <t>Gudio, Rhea</t>
  </si>
  <si>
    <t>Paz, John Robert Paul</t>
  </si>
  <si>
    <t>Aguiting, Jean Vlain Catapang</t>
  </si>
  <si>
    <t>Yarza, Cedie Tengco</t>
  </si>
  <si>
    <t>Account Start Date</t>
  </si>
  <si>
    <t>&lt; 30 Days</t>
  </si>
  <si>
    <t>31-60 Days</t>
  </si>
  <si>
    <t>61-90 Days</t>
  </si>
  <si>
    <t>91-180 Days</t>
  </si>
  <si>
    <t>181-360 Days</t>
  </si>
  <si>
    <t>&gt; 720 Days</t>
  </si>
  <si>
    <t>~</t>
  </si>
  <si>
    <t>Agent Info</t>
  </si>
  <si>
    <t>Scores/Remarks</t>
  </si>
  <si>
    <t>SubAttributes</t>
  </si>
  <si>
    <t>Count of Instaces per activity</t>
  </si>
  <si>
    <t>Duration of acummulated activity</t>
  </si>
  <si>
    <t>Track Number</t>
  </si>
  <si>
    <t>Employee Number</t>
  </si>
  <si>
    <t>First Level Supervisor</t>
  </si>
  <si>
    <t>Agent Tenurity</t>
  </si>
  <si>
    <t>Date monitored</t>
  </si>
  <si>
    <t>School/Product</t>
  </si>
  <si>
    <t>SubCategory</t>
  </si>
  <si>
    <t>SubResolution</t>
  </si>
  <si>
    <t>Client process violated</t>
  </si>
  <si>
    <t>Client process violated (Specific)</t>
  </si>
  <si>
    <t>Month</t>
  </si>
  <si>
    <t>CSAT Forecast</t>
  </si>
  <si>
    <t>Potential Integrity violation</t>
  </si>
  <si>
    <t>Overall</t>
  </si>
  <si>
    <t>Effectively resolved</t>
  </si>
  <si>
    <t>Actively Listening</t>
  </si>
  <si>
    <t>Effective probing question</t>
  </si>
  <si>
    <t>Support Type
(EDU/STU)</t>
  </si>
  <si>
    <t>Monitoring Date</t>
  </si>
  <si>
    <t>Transactions Monitored</t>
  </si>
  <si>
    <t>Total</t>
  </si>
  <si>
    <t>Enter # of transaction to monitor</t>
  </si>
  <si>
    <t>Remaining # of transaction to monitor</t>
  </si>
  <si>
    <t>Remarks</t>
  </si>
  <si>
    <t>Customer Experiece</t>
  </si>
  <si>
    <t>Setting the proper &amp; realistic expectation</t>
  </si>
  <si>
    <t>Echoing of the same question</t>
  </si>
  <si>
    <t>Sensible/appropriate question should be asked</t>
  </si>
  <si>
    <t>Willingness to help</t>
  </si>
  <si>
    <t>Partial explanation behind the solution was provided</t>
  </si>
  <si>
    <t>Listening to respond instead of understand</t>
  </si>
  <si>
    <t>Time Management</t>
  </si>
  <si>
    <t>Level 1</t>
  </si>
  <si>
    <t>Level 2</t>
  </si>
  <si>
    <t>Level 3</t>
  </si>
  <si>
    <t>Setting expectation</t>
  </si>
  <si>
    <t>Effectively resolved (Level 2)</t>
  </si>
  <si>
    <t>Effectively resolved (Level 3)</t>
  </si>
  <si>
    <t>Educate the customer (Level 3)</t>
  </si>
  <si>
    <t>Actively Listening (Level 3)</t>
  </si>
  <si>
    <t>Avoided Dead Air (Level 3)</t>
  </si>
  <si>
    <t>Effective probing question (Level 3)</t>
  </si>
  <si>
    <t>Easy to understand (Level 3)</t>
  </si>
  <si>
    <t>Level 2 - Comment</t>
  </si>
  <si>
    <t>Level 3 - Comment</t>
  </si>
  <si>
    <t>Educate the customer (Level 2)</t>
  </si>
  <si>
    <t>Actively Listening (Level 2)</t>
  </si>
  <si>
    <t>Avoided Dead Air (Level 2)</t>
  </si>
  <si>
    <t>Effective probing question (Level 2)</t>
  </si>
  <si>
    <t>Easy to understand (Level 2)</t>
  </si>
  <si>
    <t>Agent Behavior</t>
  </si>
  <si>
    <t>Delayed Opening Spiel</t>
  </si>
  <si>
    <t>January</t>
  </si>
  <si>
    <t>February</t>
  </si>
  <si>
    <t>March</t>
  </si>
  <si>
    <t>April</t>
  </si>
  <si>
    <t>May</t>
  </si>
  <si>
    <t>June</t>
  </si>
  <si>
    <t>July</t>
  </si>
  <si>
    <t>August</t>
  </si>
  <si>
    <t>September</t>
  </si>
  <si>
    <t>October</t>
  </si>
  <si>
    <t>November</t>
  </si>
  <si>
    <t>December</t>
  </si>
  <si>
    <t>Lack of follow through/commitment to solve the issue.</t>
  </si>
  <si>
    <t>Ercilla, Beejay</t>
  </si>
  <si>
    <t>Pura, Ronell</t>
  </si>
  <si>
    <t>Emp #</t>
  </si>
  <si>
    <t>Placing the customer on unnecessary hold considering the reason and the difficulty of the issue.</t>
  </si>
  <si>
    <t>(while On Hold) Probing/Asking for Issue</t>
  </si>
  <si>
    <t>(while On Hold) Troubleshooting</t>
  </si>
  <si>
    <t>Start Time</t>
  </si>
  <si>
    <t>End Time</t>
  </si>
  <si>
    <t>CSAT Projection &amp; Maturity</t>
  </si>
  <si>
    <t>Multiple Contact / Callback</t>
  </si>
  <si>
    <t>Integrity</t>
  </si>
  <si>
    <t>Survey Manipulation - No Case Created</t>
  </si>
  <si>
    <t>Survey Manipulation - Email Address Manipulation</t>
  </si>
  <si>
    <t>Survey Manipulation - Case Aging (Case left "Open/In Progress")</t>
  </si>
  <si>
    <t>Survey Manipulation - Not Owning Case</t>
  </si>
  <si>
    <t>Call/Chat Abandonment</t>
  </si>
  <si>
    <t>Failure to Follow Call Back Process</t>
  </si>
  <si>
    <t>Transferred Call / Chat?</t>
  </si>
  <si>
    <t>Beyond support boundary</t>
  </si>
  <si>
    <t>Correct solution was provided previously but did not resolve the issue</t>
  </si>
  <si>
    <t>Call/Chat got disconnected / Dropped call/chat</t>
  </si>
  <si>
    <t>Incorrect resolution was provided previously</t>
  </si>
  <si>
    <t>Agent Name:</t>
  </si>
  <si>
    <t>Same Issue</t>
  </si>
  <si>
    <t>MultipleContact</t>
  </si>
  <si>
    <t>Reason for Transfer</t>
  </si>
  <si>
    <t>Integrity Severity Matrix</t>
  </si>
  <si>
    <t>Multiple Contact</t>
  </si>
  <si>
    <t>Multiple Contact L2</t>
  </si>
  <si>
    <t>Multiple Contact L3</t>
  </si>
  <si>
    <t>Duration of the Transaction</t>
  </si>
  <si>
    <t>Total Duration</t>
  </si>
  <si>
    <t>Opening Spiel/Greeting
(Count)</t>
  </si>
  <si>
    <t>Probing/Asking for Issue
(Count)</t>
  </si>
  <si>
    <t>(while On Hold) Probing/Asking for Issue
(Count)</t>
  </si>
  <si>
    <t>Troubleshooting
(Count)</t>
  </si>
  <si>
    <t>(while On Hold) Troubleshooting
(Count)</t>
  </si>
  <si>
    <t>Resolution
(Count)</t>
  </si>
  <si>
    <t>Transaction Close
(Count)</t>
  </si>
  <si>
    <t>Total Actions Taken</t>
  </si>
  <si>
    <t>Activity Breakdown</t>
  </si>
  <si>
    <t>Action 1</t>
  </si>
  <si>
    <t>Action 2</t>
  </si>
  <si>
    <t>Action 3</t>
  </si>
  <si>
    <t>Action 4</t>
  </si>
  <si>
    <t>Action 5</t>
  </si>
  <si>
    <t>Action 6</t>
  </si>
  <si>
    <t>Action 7</t>
  </si>
  <si>
    <t>Action 8</t>
  </si>
  <si>
    <t>Action 9</t>
  </si>
  <si>
    <t>Action 10</t>
  </si>
  <si>
    <t>Action 11</t>
  </si>
  <si>
    <t>Action 12</t>
  </si>
  <si>
    <t>Action 13</t>
  </si>
  <si>
    <t>Action 14</t>
  </si>
  <si>
    <t>Action 15</t>
  </si>
  <si>
    <t>Action 16</t>
  </si>
  <si>
    <t>Action 17</t>
  </si>
  <si>
    <t>Action 18</t>
  </si>
  <si>
    <t>Action 19</t>
  </si>
  <si>
    <t>Action 20</t>
  </si>
  <si>
    <t>Duration 1</t>
  </si>
  <si>
    <t>Duration 2</t>
  </si>
  <si>
    <t>Duration 3</t>
  </si>
  <si>
    <t>Duration 4</t>
  </si>
  <si>
    <t>Duration 5</t>
  </si>
  <si>
    <t>Duration 6</t>
  </si>
  <si>
    <t>Duration 7</t>
  </si>
  <si>
    <t>Duration 8</t>
  </si>
  <si>
    <t>Duration 9</t>
  </si>
  <si>
    <t>Duration 10</t>
  </si>
  <si>
    <t>Duration 11</t>
  </si>
  <si>
    <t>Duration 12</t>
  </si>
  <si>
    <t>Duration 13</t>
  </si>
  <si>
    <t>Duration 14</t>
  </si>
  <si>
    <t>Duration 15</t>
  </si>
  <si>
    <t>Duration 16</t>
  </si>
  <si>
    <t>Duration 17</t>
  </si>
  <si>
    <t>Duration 18</t>
  </si>
  <si>
    <t>Duration 19</t>
  </si>
  <si>
    <t>Duration 20</t>
  </si>
  <si>
    <t>Duration per action</t>
  </si>
  <si>
    <t>Start Time 1</t>
  </si>
  <si>
    <t>Start Time 2</t>
  </si>
  <si>
    <t>Start Time 3</t>
  </si>
  <si>
    <t>Start Time 4</t>
  </si>
  <si>
    <t>Start Time 5</t>
  </si>
  <si>
    <t>Start Time 6</t>
  </si>
  <si>
    <t>Start Time 7</t>
  </si>
  <si>
    <t>Start Time 8</t>
  </si>
  <si>
    <t>Start Time 9</t>
  </si>
  <si>
    <t>Start Time 10</t>
  </si>
  <si>
    <t>Start Time 11</t>
  </si>
  <si>
    <t>Start Time 12</t>
  </si>
  <si>
    <t>Start Time 13</t>
  </si>
  <si>
    <t>Start Time 14</t>
  </si>
  <si>
    <t>Start Time 15</t>
  </si>
  <si>
    <t>Start Time 16</t>
  </si>
  <si>
    <t>Start Time 17</t>
  </si>
  <si>
    <t>Start Time 18</t>
  </si>
  <si>
    <t>Start Time 19</t>
  </si>
  <si>
    <t>Start Time 20</t>
  </si>
  <si>
    <t>End Time 1</t>
  </si>
  <si>
    <t>End Time 2</t>
  </si>
  <si>
    <t>End Time 3</t>
  </si>
  <si>
    <t>End Time 4</t>
  </si>
  <si>
    <t>End Time 5</t>
  </si>
  <si>
    <t>End Time 6</t>
  </si>
  <si>
    <t>End Time 7</t>
  </si>
  <si>
    <t>End Time 8</t>
  </si>
  <si>
    <t>End Time 9</t>
  </si>
  <si>
    <t>End Time 10</t>
  </si>
  <si>
    <t>End Time 11</t>
  </si>
  <si>
    <t>End Time 12</t>
  </si>
  <si>
    <t>End Time 13</t>
  </si>
  <si>
    <t>End Time 14</t>
  </si>
  <si>
    <t>End Time 15</t>
  </si>
  <si>
    <t>End Time 16</t>
  </si>
  <si>
    <t>End Time 17</t>
  </si>
  <si>
    <t>End Time 18</t>
  </si>
  <si>
    <t>End Time 19</t>
  </si>
  <si>
    <t>End Time 20</t>
  </si>
  <si>
    <t>Start Time Recording</t>
  </si>
  <si>
    <t>End Time Recording</t>
  </si>
  <si>
    <t>Category/Subcategory</t>
  </si>
  <si>
    <t>Scoring</t>
  </si>
  <si>
    <t>Checker</t>
  </si>
  <si>
    <t>Effective Reso</t>
  </si>
  <si>
    <t>Subcategory 1</t>
  </si>
  <si>
    <t>Subcategory 2</t>
  </si>
  <si>
    <t>Call/Chat Efficiency</t>
  </si>
  <si>
    <t>Subcategory 3</t>
  </si>
  <si>
    <t>Subcategory 4</t>
  </si>
  <si>
    <t>Category Level</t>
  </si>
  <si>
    <t>Resolution Level</t>
  </si>
  <si>
    <t>Database Count</t>
  </si>
  <si>
    <t>Account Start</t>
  </si>
  <si>
    <t>Client Process</t>
  </si>
  <si>
    <t>Time Interval</t>
  </si>
  <si>
    <t>Tenurity</t>
  </si>
  <si>
    <t>Support Type</t>
  </si>
  <si>
    <t>Valid Multiple Contact</t>
  </si>
  <si>
    <t>Name, e-mail address and callback of the customer is inaccurate</t>
  </si>
  <si>
    <t>Opportunities in tagging the correct Product, Platform, Category &amp; Resolution</t>
  </si>
  <si>
    <t>We didn't exhaust the resources/tools or steps before escalating the case</t>
  </si>
  <si>
    <t>The escalation process was not followed (if applicable)</t>
  </si>
  <si>
    <t>Account Name was incorrectly tagged</t>
  </si>
  <si>
    <t>The agent utilized the hold in Avaya instead of using GAD</t>
  </si>
  <si>
    <t>Reference Pull #</t>
  </si>
  <si>
    <t>Rodriguez, Marc Benjie</t>
  </si>
  <si>
    <t>Crisostomo, Marie Chris</t>
  </si>
  <si>
    <t>Reyes, Rizza May</t>
  </si>
  <si>
    <t>Reyes, Kristoffer</t>
  </si>
  <si>
    <t>Calusin, Anna Marie</t>
  </si>
  <si>
    <t>De Chavez, Jerome</t>
  </si>
  <si>
    <t>Dela Cruz, Salvador</t>
  </si>
  <si>
    <t>Mangarin, Anthony</t>
  </si>
  <si>
    <t>Sablamante, Mikko</t>
  </si>
  <si>
    <t>Sanchez, Anna May</t>
  </si>
  <si>
    <t>Dela Cruz, Mary Ann Joyce</t>
  </si>
  <si>
    <t>Temones, Cristy</t>
  </si>
  <si>
    <t>De Los Santos, Edgar</t>
  </si>
  <si>
    <t>Ortiz, Mary Joy</t>
  </si>
  <si>
    <t>Cornelio, Abigail</t>
  </si>
  <si>
    <t>Balsamo, Jayacynth</t>
  </si>
  <si>
    <t>Sangeles, Alexander</t>
  </si>
  <si>
    <t>Ongaria, Darwin</t>
  </si>
  <si>
    <t>Rivera, Ann Jennilyn</t>
  </si>
  <si>
    <t>Alix, Ray Mark</t>
  </si>
  <si>
    <t>Coroza, Jonalyn</t>
  </si>
  <si>
    <t>Alfonso, Raquel</t>
  </si>
  <si>
    <t>Santiago, Jerwid Dale</t>
  </si>
  <si>
    <t>Siñoson, Romel</t>
  </si>
  <si>
    <t>Biscocho, Shaira</t>
  </si>
  <si>
    <t>Jamsuri, Lovely Jane</t>
  </si>
  <si>
    <t>Monpon, Yolvir</t>
  </si>
  <si>
    <t>Coronado, Angelica</t>
  </si>
  <si>
    <t>Basilan, Regina Mae</t>
  </si>
  <si>
    <t>Dais, Ma Karen Kae</t>
  </si>
  <si>
    <t>Cayaba, John Laurenze</t>
  </si>
  <si>
    <t>Nambatac, Maelori Krista</t>
  </si>
  <si>
    <t>Escano, Ramoncito</t>
  </si>
  <si>
    <t>Jabinal, Lour James</t>
  </si>
  <si>
    <t>Ferreras, John Kerff</t>
  </si>
  <si>
    <t>Dela Peña, Joseph</t>
  </si>
  <si>
    <t>Esteban, Andrea</t>
  </si>
  <si>
    <t>Cereno, Marvin</t>
  </si>
  <si>
    <t>Macaspac, Aries</t>
  </si>
  <si>
    <t>Fernandez, Alexander</t>
  </si>
  <si>
    <t>Asanza, Estela</t>
  </si>
  <si>
    <t>Amal, Yeyen</t>
  </si>
  <si>
    <t>Glorioso, Wilhelmina</t>
  </si>
  <si>
    <t>Santos, Jose Valentine</t>
  </si>
  <si>
    <t>Asuncion, Benedict</t>
  </si>
  <si>
    <t>Bandojo, Jordan</t>
  </si>
  <si>
    <t>Villapana, Oliver</t>
  </si>
  <si>
    <t>Leongas, Leonel</t>
  </si>
  <si>
    <t>Ocampo, Peterson</t>
  </si>
  <si>
    <t>Santos, Jovelle</t>
  </si>
  <si>
    <t>Rosario, Valerie</t>
  </si>
  <si>
    <t>Alcantara, John Patrick</t>
  </si>
  <si>
    <t>Roma, Josephine</t>
  </si>
  <si>
    <t>Martinez, Lilirose</t>
  </si>
  <si>
    <t>Strength - Comment</t>
  </si>
  <si>
    <t>Opportunities &amp; Recommendations - Comment</t>
  </si>
  <si>
    <t>1st Level Sampling</t>
  </si>
  <si>
    <t>2nd Level Sampling</t>
  </si>
  <si>
    <t>Online Purchase</t>
  </si>
  <si>
    <t>Pearson Email</t>
  </si>
  <si>
    <t>Sampling Level 1</t>
  </si>
  <si>
    <t>1st Top Driver (CSAT)</t>
  </si>
  <si>
    <t>2nd Top Driver (CSAT)</t>
  </si>
  <si>
    <t>3rd Top Driver (CSAT)</t>
  </si>
  <si>
    <t>4th Top Driver (CSAT)</t>
  </si>
  <si>
    <t>5th Top Driver (CSAT)</t>
  </si>
  <si>
    <t>SBS</t>
  </si>
  <si>
    <t>Vocamus</t>
  </si>
  <si>
    <t>Monitor &amp; Coach</t>
  </si>
  <si>
    <t>6th Top Driver (CSAT)</t>
  </si>
  <si>
    <t>7th Top Driver (CSAT)</t>
  </si>
  <si>
    <t>8th Top Driver (CSAT)</t>
  </si>
  <si>
    <t>9th Top Driver (CSAT)</t>
  </si>
  <si>
    <t>10th Top Driver (CSAT)</t>
  </si>
  <si>
    <t>11th Top Driver (CSAT)</t>
  </si>
  <si>
    <t>SamplingL1</t>
  </si>
  <si>
    <t>SamplingL2</t>
  </si>
  <si>
    <t>Agent / Customer Profile</t>
  </si>
  <si>
    <t>Client Sentiments</t>
  </si>
  <si>
    <t>Timer</t>
  </si>
  <si>
    <t>Active Listening and Case Review</t>
  </si>
  <si>
    <t>Probing</t>
  </si>
  <si>
    <t>Discourse</t>
  </si>
  <si>
    <t>Interactive Fluency/Audience Awareness</t>
  </si>
  <si>
    <t>1. The best possible solution provided and no quick fixes when Troubleshooting steps are available.</t>
  </si>
  <si>
    <t xml:space="preserve">2. Agent followed through his commitment and did what is expected (example: sending a follow up email right after the call or </t>
  </si>
  <si>
    <t>2. Lack of follow through/commitment to solve the issue.</t>
  </si>
  <si>
    <t>3. Further reasearch was done and all resources was exhausted prior to advancing the case</t>
  </si>
  <si>
    <t>3. The agent escalated the issue without further research and troubleshooting (if applicable)</t>
  </si>
  <si>
    <t>4. Accurate and correct troubleshooting steps was provided to solve the issue</t>
  </si>
  <si>
    <t>5. The agent was able to provide the right solution based from the information provided by the customer</t>
  </si>
  <si>
    <t>5. Quickfix was provided without further validation of problem</t>
  </si>
  <si>
    <t>6. Access Code Guideline / Account Security Policy was utilized and followed to provide the correct support to the customer</t>
  </si>
  <si>
    <t>1. Right expectation was set to the customer.
Example:
• Providing an exact timeframe of when the issue will be fixed (unless we have the facts to support it)
• Setting an expectation that a refund will be processed right away or getting their money back</t>
  </si>
  <si>
    <t>2. The agent educated the customer of the possible cause or background of the issue.</t>
  </si>
  <si>
    <t>2. The agent did not educate the customer of any possible cause or background behind the solution being provided onset of the transaction</t>
  </si>
  <si>
    <t>2. The representative always ask for permission to place the customer on hold, provides the reason and timeframe</t>
  </si>
  <si>
    <t>3. The agent gets back to the customer right on time based from the timeframe that he provided</t>
  </si>
  <si>
    <t>3. The agent exceeded the timeframe that he provided before placing the customer on hold</t>
  </si>
  <si>
    <t>4. Providing the prompt response based from the customer's demand without having the customer wait - based from the difficulty of the issue</t>
  </si>
  <si>
    <t>4. Placing the customer on unnecessary hold considering the reason and the difficulty of the issue.</t>
  </si>
  <si>
    <t>1. The agent always ask the right questions to identify the root cause of the issue</t>
  </si>
  <si>
    <t>2. The agent utilizes wide range of question asking techniques for the customer to understand and provide the right information</t>
  </si>
  <si>
    <t>2. The agent struggled with getting the information needed from the customer due to lack of technique.
Example:
• Questions for tech savy customer and non-tech savy customer
• Lack of usage for open and close ended question</t>
  </si>
  <si>
    <t>1. Agent used the appropriate pace depending on the context and the customer's disposition</t>
  </si>
  <si>
    <t>2. Customer understood what the agent said without the need for any MAJOR repetition.</t>
  </si>
  <si>
    <t>3. Agent avoided using jargon when explaining to the customer</t>
  </si>
  <si>
    <t>3. Causing confusion to the customer from the verbatim that we had provided. Misdirecting the customer because of unclear instructions.</t>
  </si>
  <si>
    <t xml:space="preserve">4. Sentences are accurate.  There are minor lapses that encompass total interaction and which do not impact overall conversation. 
Agent can self-correct. 
Ex:  Caller does not ask the agent to repeat information or does not pause for a few seconds to digest what the agent is saying.  Customer's tone does not sound doubtful. </t>
  </si>
  <si>
    <t xml:space="preserve">4. Constantly gropes for words causing either excessive fillers or dead air. Words used were inaccurate or are not real words.  Words are repeated without direction. Literal transactions are frequent.  These lapses confuse customers.  Customers may ask agents to repeat what they said more than twice. </t>
  </si>
  <si>
    <t xml:space="preserve">3. Balances company interest and advocacy for the customer through positive framing and by providing the best options to solve the issue. Is able to highlight benefits. 
</t>
  </si>
  <si>
    <t>4. The agent's tone sounded positive and enthusiastic throughout the call.</t>
  </si>
  <si>
    <t xml:space="preserve">6. Direct responses provided as necessary.  
All questions asked are answered. 
Explanations regarding issues are provided as necessary. 
Explanations for suggested solution provided as necessary.
Responds appropriately to comments (including sarcasm) outside the call flow. 
</t>
  </si>
  <si>
    <t>1. Appropriate responses was given at the right time based from the customer's tone, sentence construction and disposition</t>
  </si>
  <si>
    <t>1. The agent was able to deliver the opening spiel right on time</t>
  </si>
  <si>
    <t>1. Accurately gathered &amp; confirmed the name, e-mail address and callback of the customer</t>
  </si>
  <si>
    <t>Opposite of the things mentioned in "Meeting Attribute"</t>
  </si>
  <si>
    <t>2. Followed the escalation process (if applicable)</t>
  </si>
  <si>
    <t>3. Correct Product, Platform, Category &amp; Resolution tagging.</t>
  </si>
  <si>
    <t>4. Accurately and completely documented the transaction (phone, chat &amp;  email)</t>
  </si>
  <si>
    <t>5. Exhausted the resources/tools or steps before escalating the case</t>
  </si>
  <si>
    <t>6. Account Name (school name) compliance</t>
  </si>
  <si>
    <t>7. Access Code Guideline / Account Security compliance compliance</t>
  </si>
  <si>
    <t>8. Utilizing the right tool to place the customer on hold (avoid using Avaya)</t>
  </si>
  <si>
    <t>9. Call Flow Compliance</t>
  </si>
  <si>
    <t>10. Able to provide the status of the case or any updates (for customer calling back)</t>
  </si>
  <si>
    <t>11. Agent was able to follow up with the customer after 48 hrs regarding the status of the issue</t>
  </si>
  <si>
    <t>Make sure that the issue is completely and accurately resolved</t>
  </si>
  <si>
    <t>Adhering to policies and procedures</t>
  </si>
  <si>
    <t>3. The representative always look at opportunities to provide explanation to the customer</t>
  </si>
  <si>
    <t>4. The explanation provided is complete and accurate</t>
  </si>
  <si>
    <t>3. Explanations weren't provided even if there is an opportunity to do so</t>
  </si>
  <si>
    <t>4. The agent is not aware of the correct troubleshooting steps to perform to solve the issue</t>
  </si>
  <si>
    <t>5. The agent took extraorinary amount of time to solve the issue. No repetition of process was made (refer to call flow)</t>
  </si>
  <si>
    <t>5. The agent was able to follow the step-by-step process and was able to resolve the issue in a timely manner</t>
  </si>
  <si>
    <t>Unecessary Hold / Call Handling Awareness</t>
  </si>
  <si>
    <t>Asking the right questions to narrow down the problem</t>
  </si>
  <si>
    <t>Adaptability to customer's soft/technical skill competency</t>
  </si>
  <si>
    <t>Grammar Accuracy/Language Accuracy</t>
  </si>
  <si>
    <t>Writing Mechanics</t>
  </si>
  <si>
    <t>Thought Organization Techniques</t>
  </si>
  <si>
    <t>Direct responses given</t>
  </si>
  <si>
    <t xml:space="preserve">Positive Framing used / Providing Alternatives or Options </t>
  </si>
  <si>
    <t xml:space="preserve">Sensitivity to customer nuances </t>
  </si>
  <si>
    <t xml:space="preserve">2. Addresses specific concerns (worry, urgency, issue after issue experienced, extreme worry, simple issue but customer can't resolve but needs to complete activity, etc) </t>
  </si>
  <si>
    <t xml:space="preserve">3. If caller is controller, agent follows lead and gives clear concise answers. If caller is thinker, agent provides detailed responses. If caller is a feeler, agent empathizes and manages emotions first. If caller is entertainer, agent engages and listens to the caller interactively. </t>
  </si>
  <si>
    <t>Follows caller's lead in terms of profile (Thinker, feeler, controller, and entertainer)</t>
  </si>
  <si>
    <t>Empathy and rapport</t>
  </si>
  <si>
    <t>Sendon, Bryan</t>
  </si>
  <si>
    <t>Bardiaga, Danica Baldueza</t>
  </si>
  <si>
    <t>Abordo, Kojie</t>
  </si>
  <si>
    <t>Dumaloy, Filmar</t>
  </si>
  <si>
    <t>Bacuño, Catherine</t>
  </si>
  <si>
    <t>Deoso, Marjan Joy</t>
  </si>
  <si>
    <t>Nicdao, Genesis</t>
  </si>
  <si>
    <t>Garcia, Harzel</t>
  </si>
  <si>
    <t>Esperida, Guiller</t>
  </si>
  <si>
    <t>Senofa, Princess</t>
  </si>
  <si>
    <t>Betita, Seth Virgil</t>
  </si>
  <si>
    <t>Calasan, John Matthew</t>
  </si>
  <si>
    <t>Delgado, Reymond</t>
  </si>
  <si>
    <t>Urmaza, James Mathew</t>
  </si>
  <si>
    <t>O'Santos, Clarisze</t>
  </si>
  <si>
    <t>Concepcion, Ma. Karen</t>
  </si>
  <si>
    <t>Bayaca, Shiera May</t>
  </si>
  <si>
    <t>Cruz, Christian Angelo</t>
  </si>
  <si>
    <t>Del Agua, Justin Brian</t>
  </si>
  <si>
    <t>Jose, Mahrya Krista</t>
  </si>
  <si>
    <t>Mangahas, Sherwin</t>
  </si>
  <si>
    <t>Rivera, Froilan</t>
  </si>
  <si>
    <t>Sulad, Janry</t>
  </si>
  <si>
    <t>Mendez, Jhomeriza</t>
  </si>
  <si>
    <t>Bainto, George</t>
  </si>
  <si>
    <t>Belleza, Judith</t>
  </si>
  <si>
    <t>Menorca, Nathaniel</t>
  </si>
  <si>
    <t>Delos Santos, Jeremie Joy</t>
  </si>
  <si>
    <t>Osita, Rober</t>
  </si>
  <si>
    <t>Villanueva, Richard Paul</t>
  </si>
  <si>
    <t>Buenviaje, Allyza Jashley</t>
  </si>
  <si>
    <t>Goli, James Michael</t>
  </si>
  <si>
    <t>Lagrosas, Loujean Anne</t>
  </si>
  <si>
    <t>Tena, Jonathan Dave</t>
  </si>
  <si>
    <t>Valdemor, Joshua Percival Mogado</t>
  </si>
  <si>
    <t>Pascual, John Erickman</t>
  </si>
  <si>
    <t>Beato, Bell Carla</t>
  </si>
  <si>
    <t>Legaspi, Aldrin Jay</t>
  </si>
  <si>
    <t>Cainglet, Joseph</t>
  </si>
  <si>
    <t>Bayato, Isaac</t>
  </si>
  <si>
    <t>Ballon, Lorelie</t>
  </si>
  <si>
    <t>Duclayan, Cathrina</t>
  </si>
  <si>
    <t>Murilla, Michelle</t>
  </si>
  <si>
    <t>Villarino, Luwed Jay</t>
  </si>
  <si>
    <t>Ariola, Neil Adrian</t>
  </si>
  <si>
    <t>Manalon, Lara Faith</t>
  </si>
  <si>
    <t>Paniamogan, Noli May</t>
  </si>
  <si>
    <t>Gianan, Kimberly</t>
  </si>
  <si>
    <t>Bodigon, Jon Warry</t>
  </si>
  <si>
    <t>Igama, Renald Ron</t>
  </si>
  <si>
    <t>De Asis, Charles Xavier</t>
  </si>
  <si>
    <t>Billoso, Paul Benedict</t>
  </si>
  <si>
    <t>Cristalino, Vladimir</t>
  </si>
  <si>
    <t>Manuel, Vanessa</t>
  </si>
  <si>
    <t>De Guzman, Rogelio</t>
  </si>
  <si>
    <t>Budlong, Jave Leonard</t>
  </si>
  <si>
    <t>Salvador, Jasmine</t>
  </si>
  <si>
    <t>Bendero, Melody</t>
  </si>
  <si>
    <t>Freolo, Farra Jean</t>
  </si>
  <si>
    <t>Cruz, Pauline</t>
  </si>
  <si>
    <t>Dizon, Lyka Lyn</t>
  </si>
  <si>
    <t>Estrella, Rolex</t>
  </si>
  <si>
    <t>Abas, Jenny Rose</t>
  </si>
  <si>
    <t>Acosta, Adrian</t>
  </si>
  <si>
    <t>Arcilla Jr, Charles Abraham</t>
  </si>
  <si>
    <t>Daya, Mary Rose</t>
  </si>
  <si>
    <t>Jamin, Renato Caylao</t>
  </si>
  <si>
    <t>Hicaro, Rhowie Jean</t>
  </si>
  <si>
    <t>Banay, Adrian</t>
  </si>
  <si>
    <t>Baliña, Cris Maverick</t>
  </si>
  <si>
    <t>Yu, Jency Louise</t>
  </si>
  <si>
    <t>Acodesin, Elyssa Mae</t>
  </si>
  <si>
    <t>Nuñez, Angela Faye</t>
  </si>
  <si>
    <t>Alonzo, Trixcia Marie</t>
  </si>
  <si>
    <t>Ancit, Ian Eumer</t>
  </si>
  <si>
    <t>Gadia, Marie Dionne Iris</t>
  </si>
  <si>
    <t>Jucar, Jade Raphael</t>
  </si>
  <si>
    <t>Libunao, Maybelen</t>
  </si>
  <si>
    <t>Limquiaco, Lorraine Ann</t>
  </si>
  <si>
    <t>Faderoga, Justice Anthony</t>
  </si>
  <si>
    <t>Nalupano, John Jopet</t>
  </si>
  <si>
    <t>Nocon, Lorelie Jane</t>
  </si>
  <si>
    <t>Romero, Paul Valerie</t>
  </si>
  <si>
    <t>Severino, Mary Jean</t>
  </si>
  <si>
    <t>Palagtiosa, Tara Yazmine</t>
  </si>
  <si>
    <t>Llanza, Bembie</t>
  </si>
  <si>
    <t>De Leon, Terence Jobert</t>
  </si>
  <si>
    <t>Obellon, Mary Jane</t>
  </si>
  <si>
    <t>Ronquillo, Pamela Andrea</t>
  </si>
  <si>
    <t>Vaflor, Rhonel John</t>
  </si>
  <si>
    <t>Bancale, Genesis Gomer</t>
  </si>
  <si>
    <t>Copino, Ma Isabel</t>
  </si>
  <si>
    <t>Ligon, Leslie Ann</t>
  </si>
  <si>
    <t>Apostol, Christian Daniel</t>
  </si>
  <si>
    <t>Libiran, Patricia</t>
  </si>
  <si>
    <t>Patricio, Ralph Giovanni</t>
  </si>
  <si>
    <t>Pineda, Jumel</t>
  </si>
  <si>
    <t>Beroya, Kyle John</t>
  </si>
  <si>
    <t>Cruz, Kneesa</t>
  </si>
  <si>
    <t>Pearson E-mail</t>
  </si>
  <si>
    <t>mariechris.crisostomo@pearson.com</t>
  </si>
  <si>
    <t>ramon.adea@pearson.com</t>
  </si>
  <si>
    <t>raquel.alfonso@pearson.com</t>
  </si>
  <si>
    <t>rizza.reyes@pearson.com</t>
  </si>
  <si>
    <t>Jerwid.Santiago@pearson.com</t>
  </si>
  <si>
    <t>Bryan.Sendon@pearson.com</t>
  </si>
  <si>
    <t>carmelamae.simangan@pearson.com</t>
  </si>
  <si>
    <t>Romel.Sinoson@pearson.com</t>
  </si>
  <si>
    <t>JaysonAquino.Naval@pearson.com</t>
  </si>
  <si>
    <t>danica.bardiaga@pearson.com</t>
  </si>
  <si>
    <t>kojie.abordo@pearson.com</t>
  </si>
  <si>
    <t>filmar.dumaloy@pearson.com</t>
  </si>
  <si>
    <t>catherine.bacuno@pearson.com</t>
  </si>
  <si>
    <t>karen.dais@pearson.com</t>
  </si>
  <si>
    <t>marjanjoy.deoso@pearson.com</t>
  </si>
  <si>
    <t>genesis.nicdao@pearson.com</t>
  </si>
  <si>
    <t>jhonalyn.maranga@pearson.com</t>
  </si>
  <si>
    <t>ma.marjorie.cerdon@pearson.com</t>
  </si>
  <si>
    <t>dianarose.maranon@pearson.com</t>
  </si>
  <si>
    <t>jona.vallejo@pearson.com</t>
  </si>
  <si>
    <t>jomel.catipon@pearson.com</t>
  </si>
  <si>
    <t>princecedric.ignacio@pearson.com</t>
  </si>
  <si>
    <t>patriciamarie.reyes@pearson.com</t>
  </si>
  <si>
    <t>rubyrose.adriano@pearson.com</t>
  </si>
  <si>
    <t>joan.garcia@pearson.com</t>
  </si>
  <si>
    <t>aries.berja@pearson.com</t>
  </si>
  <si>
    <t>mikko.sablamante@pearson.com</t>
  </si>
  <si>
    <t>KATHYLENE.TIERRA@pearson.com</t>
  </si>
  <si>
    <t>Nicole.Penafiel@pearson.com</t>
  </si>
  <si>
    <t>marielsantaveneranda.teneza@pearson.com</t>
  </si>
  <si>
    <t>harzel.garcia@pearson.com</t>
  </si>
  <si>
    <t>florisa.garcia@pearson.com</t>
  </si>
  <si>
    <t>jocelyn.mogado@pearson.com</t>
  </si>
  <si>
    <t>pelita.joaquin@pearson.com</t>
  </si>
  <si>
    <t>jonnabelle.go@pearson.com</t>
  </si>
  <si>
    <t>lynette.moster@pearson.com</t>
  </si>
  <si>
    <t>Guiller.Esperida@pearson.com</t>
  </si>
  <si>
    <t>marvin.cereno@pearson.com</t>
  </si>
  <si>
    <t>andrea.esteban@pearson.com</t>
  </si>
  <si>
    <t>joeffreyfrancisjude.juada@pearson.com</t>
  </si>
  <si>
    <t>erwina.zabala@pearson.com</t>
  </si>
  <si>
    <t>lilirose.martinez@pearson.com</t>
  </si>
  <si>
    <t>princess.senofa@pearson.com</t>
  </si>
  <si>
    <t>janeth.apolonio@pearson.com</t>
  </si>
  <si>
    <t>ArrolGabatin.Pamplona@pearson.com</t>
  </si>
  <si>
    <t>sarahaljen.par@pearson.com</t>
  </si>
  <si>
    <t>marcbenjie.rodriguez@pearson.com</t>
  </si>
  <si>
    <t>amadorgugulan.tamayo@pearson.com</t>
  </si>
  <si>
    <t>raymark.alix@pearson.com</t>
  </si>
  <si>
    <t>jorie.asencio@pearson.com</t>
  </si>
  <si>
    <t>Catherine.Avena@pearson.com</t>
  </si>
  <si>
    <t>regina.basilan@pearson.com</t>
  </si>
  <si>
    <t>seth.betita@pearson.com</t>
  </si>
  <si>
    <t>John.MatthewCalasan@pearson.com</t>
  </si>
  <si>
    <t>johnlaurenze.cayaba@pearson.com</t>
  </si>
  <si>
    <t>jedidiah.concepcion@pearson.com</t>
  </si>
  <si>
    <t>camille.dacillo@pearson.com</t>
  </si>
  <si>
    <t>allen.deleon@pearson.com</t>
  </si>
  <si>
    <t>Reymond.Delgado@pearson.com</t>
  </si>
  <si>
    <t>zyrah.enciso@pearson.com</t>
  </si>
  <si>
    <t>johnkerff.ferreras@pearson.com</t>
  </si>
  <si>
    <t>christine.fulay@pearson.com</t>
  </si>
  <si>
    <t>james.hernandez@pearson.com</t>
  </si>
  <si>
    <t>mildred.noblejas@pearson.com</t>
  </si>
  <si>
    <t>Kimberlyn.Quila@pearson.com</t>
  </si>
  <si>
    <t>annjennilyn.rivera@pearson.com</t>
  </si>
  <si>
    <t>cyntarafe.miranda@pearson.com</t>
  </si>
  <si>
    <t>charlemagne.serafica@pearson.com</t>
  </si>
  <si>
    <t>robert.solomon@pearson.com</t>
  </si>
  <si>
    <t>jerrowen.tubera@pearson.com</t>
  </si>
  <si>
    <t>jamesmathew.urmaza@pearson.com</t>
  </si>
  <si>
    <t>aries.macaspac@pearson.com</t>
  </si>
  <si>
    <t>josh.valdeleon@pearson.com</t>
  </si>
  <si>
    <t>jo.villanueva@pearson.com</t>
  </si>
  <si>
    <t>darwin.ongaria@pearson.com</t>
  </si>
  <si>
    <t>maryjoy.ortiz@pearson.com</t>
  </si>
  <si>
    <t>clarisze.osantos@pearson.com</t>
  </si>
  <si>
    <t>makaren.concepcion@pearson.com</t>
  </si>
  <si>
    <t>shieramay.bayaca@pearson.com</t>
  </si>
  <si>
    <t>paolo.caligagan@pearson.com</t>
  </si>
  <si>
    <t>jenril.campos@pearson.com</t>
  </si>
  <si>
    <t>ChristianAngelo.Cruz@pearson.com</t>
  </si>
  <si>
    <t>JustinBrian.DelAgua@pearson.com</t>
  </si>
  <si>
    <t>jhumar.hall@pearson.com</t>
  </si>
  <si>
    <t>karlo.dimaala@pearson.com</t>
  </si>
  <si>
    <t>MahryaKrista.Jose@Pearson.com</t>
  </si>
  <si>
    <t>Sherwin.Mangahas@Pearson.com</t>
  </si>
  <si>
    <t>Froilan.Rivera@pearson.com</t>
  </si>
  <si>
    <t>janry.sulad@pearson.com</t>
  </si>
  <si>
    <t>mariel.bertillo@pearson.com</t>
  </si>
  <si>
    <t>maryjoy.main@pearson.com</t>
  </si>
  <si>
    <t>jhomeriza.mendez@pearson.com</t>
  </si>
  <si>
    <t>artlud.reas@pearson.com</t>
  </si>
  <si>
    <t>Christine.Montero@pearson.com</t>
  </si>
  <si>
    <t>michelle.montero@pearson.com</t>
  </si>
  <si>
    <t>naechellezarrah.morente@pearson.com</t>
  </si>
  <si>
    <t>rolly.grande@pearson.com</t>
  </si>
  <si>
    <t>reychell.molina@pearson.com</t>
  </si>
  <si>
    <t>melita.tupaz@pearson.com</t>
  </si>
  <si>
    <t>philip.piedad@pearson.com</t>
  </si>
  <si>
    <t>janica.alvarez@pearson.com</t>
  </si>
  <si>
    <t>george.bainto@pearson.com</t>
  </si>
  <si>
    <t>Judith.Belleza@pearson.com</t>
  </si>
  <si>
    <t>sarah.labios@pearson.com</t>
  </si>
  <si>
    <t>nathaniel.menorca@pearson.com</t>
  </si>
  <si>
    <t>JeremieJoy.DelosSantos@pearson.com</t>
  </si>
  <si>
    <t>rober.osita@pearson.com</t>
  </si>
  <si>
    <t>Richardpaul.Villanueva@pearson.com</t>
  </si>
  <si>
    <t>tonica.cadiz@pearson.com</t>
  </si>
  <si>
    <t>mariela.lopez@pearson.com</t>
  </si>
  <si>
    <t>cherry.alvarado@pearson.com</t>
  </si>
  <si>
    <t>jerson.canag@pearson.com</t>
  </si>
  <si>
    <t>arlyn.saliling@pearson.com</t>
  </si>
  <si>
    <t>Amy.Ibanez@pearson.com</t>
  </si>
  <si>
    <t>Allyza.JashleBuenviaje@pearson.com</t>
  </si>
  <si>
    <t>joseph.delapena@pearson.com</t>
  </si>
  <si>
    <t>JamesMichael.Goli@pearson.com</t>
  </si>
  <si>
    <t>LoujeanAnne.Lagrosas@pearson.com</t>
  </si>
  <si>
    <t>Jonathandave.Tena@pearson.com</t>
  </si>
  <si>
    <t>joshuapercival.valdemor@pearson.com</t>
  </si>
  <si>
    <t>razzeannjoy.logronio@pearson.com</t>
  </si>
  <si>
    <t>virgilio.capricho@pearson.com</t>
  </si>
  <si>
    <t>rodolfo.borbon@pearson.com</t>
  </si>
  <si>
    <t>princeemmanuelle.dayanan@pearson.com</t>
  </si>
  <si>
    <t>nor.dumpa@pearson.com</t>
  </si>
  <si>
    <t>art.bautista@pearson.com</t>
  </si>
  <si>
    <t>ronel.ponferrada@pearson.com</t>
  </si>
  <si>
    <t>jillian.esperanzate@pearson.com</t>
  </si>
  <si>
    <t>Johnerickman.Pascual1@pearson.com</t>
  </si>
  <si>
    <t>Bell.CarlaBeato@pearson.com</t>
  </si>
  <si>
    <t>Aldrin.JayLegaspi@pearson.com</t>
  </si>
  <si>
    <t>josefian.cainglet@pearson.com</t>
  </si>
  <si>
    <t>Elizabeth.Carlos@pearson.com</t>
  </si>
  <si>
    <t>maryangelique.dy@pearson.com</t>
  </si>
  <si>
    <t>mark.junio@pearson.com</t>
  </si>
  <si>
    <t>marjorie.lagario@pearson.com</t>
  </si>
  <si>
    <t>Jovanessa.Sayson@pearson.com</t>
  </si>
  <si>
    <t>jeraldene.ariego@pearson.com</t>
  </si>
  <si>
    <t>isaacvince.bayato@pearson.com</t>
  </si>
  <si>
    <t>paulenejamie.guiniling@pearson.com</t>
  </si>
  <si>
    <t>napoleon.delossantosiii@pearson.com</t>
  </si>
  <si>
    <t>jonalyn.coroza@pearson.com</t>
  </si>
  <si>
    <t>Elanie.Rico1@pearson.com</t>
  </si>
  <si>
    <t>alexander.elipan@pearson.com</t>
  </si>
  <si>
    <t>jesie.sabas@pearson.com</t>
  </si>
  <si>
    <t>jayson.brown@pearson.com</t>
  </si>
  <si>
    <t>abigail.cornelio@pearson.com</t>
  </si>
  <si>
    <t>amelia.samano@pearson.com</t>
  </si>
  <si>
    <t>marvin.dizon@pearson.com</t>
  </si>
  <si>
    <t>rhea.gudio@pearson.com</t>
  </si>
  <si>
    <t>mariakatrina.kwan@pearson.com</t>
  </si>
  <si>
    <t>alexander.fernandez@pearson.com</t>
  </si>
  <si>
    <t>lourjames.jabinal@pearson.com</t>
  </si>
  <si>
    <t>yeyen.amal@pearson.com</t>
  </si>
  <si>
    <t>estela.asanza@pearson.com</t>
  </si>
  <si>
    <t>wilhelmina.glorioso@pearson.com</t>
  </si>
  <si>
    <t>josevalentine.santos@pearson.com</t>
  </si>
  <si>
    <t>johnpatrick.alcantara@pearson.com</t>
  </si>
  <si>
    <t>josephine.roma@pearson.com</t>
  </si>
  <si>
    <t>maelorikrista.nambatac@pearson.com</t>
  </si>
  <si>
    <t>leonel.leongas@peareson.com</t>
  </si>
  <si>
    <t>benedict.asuncion@pearson.com</t>
  </si>
  <si>
    <t>jordan.bandojo@pearson.com</t>
  </si>
  <si>
    <t>oliver.villapana@pearson.com</t>
  </si>
  <si>
    <t>ericralph.corpuz@pearson.com</t>
  </si>
  <si>
    <t>marklouie.deguzman@pearson.com</t>
  </si>
  <si>
    <t>annmay.detran@pearson.com</t>
  </si>
  <si>
    <t>Lorelie.Ballon@pearson.com</t>
  </si>
  <si>
    <t>Cathrina.Duclayan@pearson.com</t>
  </si>
  <si>
    <t>wesley.espiritu@pearson.com</t>
  </si>
  <si>
    <t>Michelle.Murilla@pearson.com</t>
  </si>
  <si>
    <t>alfranz.patic@pearson.com</t>
  </si>
  <si>
    <t>LuwedJay.Villarino@pearson.com</t>
  </si>
  <si>
    <t>Cedie.Yarza@pearson.com</t>
  </si>
  <si>
    <t>michele.oprenario@pearson.com</t>
  </si>
  <si>
    <t>XavierMarc.Cruz@pearson.com</t>
  </si>
  <si>
    <t>KennethOliver.Dizon@pearson.com</t>
  </si>
  <si>
    <t>carlosfontanilla.villafuerte@pearson.com</t>
  </si>
  <si>
    <t>richardjohn.mateo@pearson.com</t>
  </si>
  <si>
    <t>gerald.romero@pearson.com</t>
  </si>
  <si>
    <t>Neiladrian.Ariola@pearson.com</t>
  </si>
  <si>
    <t>LaraFaith.Manalon@Pearson.com</t>
  </si>
  <si>
    <t>hannajoyce.pelayo@pearson.com</t>
  </si>
  <si>
    <t>nicolefaye.marasigan@pearson.com</t>
  </si>
  <si>
    <t>andrei.ong@pearson.com</t>
  </si>
  <si>
    <t>NoliMay.Paniamogan@pearson.com</t>
  </si>
  <si>
    <t>maryrose.maramba@pearson.com</t>
  </si>
  <si>
    <t>rosalinda.roque@pearson.com</t>
  </si>
  <si>
    <t>queen.malala@pearson.com</t>
  </si>
  <si>
    <t>ann.gungob@pearson.com</t>
  </si>
  <si>
    <t>suzette.sabater@pearson.com</t>
  </si>
  <si>
    <t>Kimberly.Gianan@pearson.com</t>
  </si>
  <si>
    <t>jonwarry.bodigon@pearson.com</t>
  </si>
  <si>
    <t>renaldron.igama@pearson.com</t>
  </si>
  <si>
    <t>valeric.velasquez@pearson.com</t>
  </si>
  <si>
    <t>diana.fontanilla@pearson.com</t>
  </si>
  <si>
    <t>Flesa.Gumba@pearson.com</t>
  </si>
  <si>
    <t>sharmiene.roda@pearson.com</t>
  </si>
  <si>
    <t>irynell.gamboa@pearson.com</t>
  </si>
  <si>
    <t>emilallan.villanueva@pearson.com</t>
  </si>
  <si>
    <t>john.paz@pearson.com</t>
  </si>
  <si>
    <t>ramoncito.escano@pearson.com</t>
  </si>
  <si>
    <t>Charlesxavier.Deasis@pearson.com</t>
  </si>
  <si>
    <t>Paulbenedict.Billoso@pearson.com</t>
  </si>
  <si>
    <t>Vladimir.Cristalino@pearson.com</t>
  </si>
  <si>
    <t>Paul.Manuel@pearson.com</t>
  </si>
  <si>
    <t>kristofferxelij.reyes@pearson.com</t>
  </si>
  <si>
    <t>shaira.biscocho@pearson.com</t>
  </si>
  <si>
    <t>lovelyjane.jamsuri@pearson.com</t>
  </si>
  <si>
    <t>yolvir.monpon@pearson.com</t>
  </si>
  <si>
    <t>jerome.dechavez@pearson.com</t>
  </si>
  <si>
    <t>salvador.delacruz@pearson.com</t>
  </si>
  <si>
    <t>angelicaflorish.coronado@pearson.com</t>
  </si>
  <si>
    <t>anthony.mangarin@pearson.com</t>
  </si>
  <si>
    <t>annamay.sanchez@pearson.com</t>
  </si>
  <si>
    <t>alejandroiv.espiritu@pearson.com</t>
  </si>
  <si>
    <t>dante.alejo@pearson.com</t>
  </si>
  <si>
    <t>ryan.satura@pearson.com</t>
  </si>
  <si>
    <t>annamarie.calusin@pearson.com</t>
  </si>
  <si>
    <t>maryannjoyce.delacruz@pearson.com</t>
  </si>
  <si>
    <t>cristy.temones@pearson.com</t>
  </si>
  <si>
    <t>edgar.delossantos1@pearson.com</t>
  </si>
  <si>
    <t>vernicegeorge.matining@pearson.com</t>
  </si>
  <si>
    <t>KrystiaNadine.Caritativo1@pearson.com</t>
  </si>
  <si>
    <t>ced.maglaque@pearson.com</t>
  </si>
  <si>
    <t>rodel.roja@pearson.com</t>
  </si>
  <si>
    <t>Jayacenth.Balsamo@pearson.com</t>
  </si>
  <si>
    <t>alexander.sangeles@pearson.com</t>
  </si>
  <si>
    <t>jonylyn.logan@pearson.com</t>
  </si>
  <si>
    <t>peterson.ocampo@pearson.com</t>
  </si>
  <si>
    <t>Valerie.Rosario@pearson.com</t>
  </si>
  <si>
    <t>jovelle.santos@pearson.com</t>
  </si>
  <si>
    <t>Vanessa.Manuel@pearson.com</t>
  </si>
  <si>
    <t>Rogelio.DeGuzman@pearson.com</t>
  </si>
  <si>
    <t>Jave.LeonardBudlong@pearson.com</t>
  </si>
  <si>
    <t>jasmine.salvador@pearson.com</t>
  </si>
  <si>
    <t>Melody.Bendero@pearson.com</t>
  </si>
  <si>
    <t>farrajean.freolo@pearson.com</t>
  </si>
  <si>
    <t>Pauline.Cruz@pearson.com</t>
  </si>
  <si>
    <t>lykalyn.dizon@pearson.com</t>
  </si>
  <si>
    <t>rolex.estrella@pearson.com</t>
  </si>
  <si>
    <t>jennyrose.abas@pearson.com</t>
  </si>
  <si>
    <t>adrian.acosta@pearson.com</t>
  </si>
  <si>
    <t>charlesabraham.arcilla@pearson.com</t>
  </si>
  <si>
    <t>Mary.RoseDaya@pearson.com</t>
  </si>
  <si>
    <t>maribel.llave@pearson.com</t>
  </si>
  <si>
    <t>natashamae.tarrobago@pearson.com</t>
  </si>
  <si>
    <t>Racquel.Cecilio@pearson.com</t>
  </si>
  <si>
    <t>chris.casi@pearson.com</t>
  </si>
  <si>
    <t>renatocaylao.jamin@pearson.com</t>
  </si>
  <si>
    <t>John.Pascual@pearson.com</t>
  </si>
  <si>
    <t>catherine.abay@pearson.com</t>
  </si>
  <si>
    <t>ma.cruz@pearson.com</t>
  </si>
  <si>
    <t>leighann.santos@pearson.com</t>
  </si>
  <si>
    <t>ronald.villa@pearson.com</t>
  </si>
  <si>
    <t>Rachel.Quinones@pearson.com</t>
  </si>
  <si>
    <t>jinky.camacho@pearson.com</t>
  </si>
  <si>
    <t>mylene.lagmay@pearson.com</t>
  </si>
  <si>
    <t>maureen.manahan@pearson.com</t>
  </si>
  <si>
    <t>esperanza.sayo@pearson.com</t>
  </si>
  <si>
    <t>apriljoy.bustamante@pearson.com</t>
  </si>
  <si>
    <t>fernan.cruz@pearson.com</t>
  </si>
  <si>
    <t>noel.delossantosjr@pearson.com</t>
  </si>
  <si>
    <t>joserey.dimalanta@pearson.com</t>
  </si>
  <si>
    <t>geraldine.golosino@pearson.com</t>
  </si>
  <si>
    <t>rejeanne.jocson@pearson.com</t>
  </si>
  <si>
    <t>timothy.madrazo@pearson.com</t>
  </si>
  <si>
    <t>glenn.mendoza@pearson.com</t>
  </si>
  <si>
    <t>janmichael.rodaje@pearson.com</t>
  </si>
  <si>
    <t>Al.Maraan@pearson.com</t>
  </si>
  <si>
    <t>efren.dacanay@pearson.com</t>
  </si>
  <si>
    <t>roselle.espiritu@pearson.com</t>
  </si>
  <si>
    <t>dina.panganiban-mejia@pearson.com</t>
  </si>
  <si>
    <t>fernando.taller@pearson.com</t>
  </si>
  <si>
    <t>jay-r.deleon@pearson.com</t>
  </si>
  <si>
    <t>ferrer.nhelisa@pearson.com</t>
  </si>
  <si>
    <t>darwin.marquez@pearson.com</t>
  </si>
  <si>
    <t>dranreb.recio@pearson.com</t>
  </si>
  <si>
    <t>pamela.decano@pearson.com</t>
  </si>
  <si>
    <t>kryzylynne.erestain@pearson.com</t>
  </si>
  <si>
    <t>kemberlyrose.heraldo@pearson.com</t>
  </si>
  <si>
    <t>justinanton.maxilom@pearson.com</t>
  </si>
  <si>
    <t>reychel.noche@pearson.com</t>
  </si>
  <si>
    <t>maria.banaynal@pearson.com</t>
  </si>
  <si>
    <t>rochelle.belmonte@pearson.com</t>
  </si>
  <si>
    <t>edison.dumale@pearson.com</t>
  </si>
  <si>
    <t>Karen.Iway@pearson.com</t>
  </si>
  <si>
    <t>luzelle.pilapil@pearson.com</t>
  </si>
  <si>
    <t>ryanarnold.talite@pearson.com</t>
  </si>
  <si>
    <t>john.crisostomo@pearson.com</t>
  </si>
  <si>
    <t>ma.laurice.bongat@pearson.com</t>
  </si>
  <si>
    <t>dianne.delapena@pearson.com</t>
  </si>
  <si>
    <t>trisha.hacildo@pearson.com</t>
  </si>
  <si>
    <t>markryan.teves@pearson.com</t>
  </si>
  <si>
    <t>david.yuseng@pearson.com</t>
  </si>
  <si>
    <t>teresa.padua@pearson.com</t>
  </si>
  <si>
    <t>TriziaIra.Talaboc@pearson.com</t>
  </si>
  <si>
    <t>Billyroi.Cruz@pearson.com</t>
  </si>
  <si>
    <t>ernest.durano@pearson.com</t>
  </si>
  <si>
    <t>rhowiejean.hicaro@pearson.com</t>
  </si>
  <si>
    <t>Adrian.Banay@pearson.com</t>
  </si>
  <si>
    <t>crismaverick.balina@pearson.com</t>
  </si>
  <si>
    <t>jencylouise.yu@pearson.com</t>
  </si>
  <si>
    <t>elyssamae.acodesin@pearson.com</t>
  </si>
  <si>
    <t>Harneeca.Narvasa@pearson.com</t>
  </si>
  <si>
    <t>trixciamarie.alonzo@pearson.com</t>
  </si>
  <si>
    <t>ianeumer.ancit@pearson.com</t>
  </si>
  <si>
    <t>marco.belbis@pearson.com</t>
  </si>
  <si>
    <t>ChristineJane.Fran@pearson.com</t>
  </si>
  <si>
    <t>rhoda.zamora@pearson.com</t>
  </si>
  <si>
    <t>rubyjoyce.lambino@pearson.com</t>
  </si>
  <si>
    <t>MarieDionne.IrisGadia@pearson.com</t>
  </si>
  <si>
    <t>jaderaphael.jucar@pearson.com</t>
  </si>
  <si>
    <t>maybelen.libunao@pearson.com</t>
  </si>
  <si>
    <t>lorraineann.limquiaco@pearson.com</t>
  </si>
  <si>
    <t>justiceanthony.faderoga@pearson.com</t>
  </si>
  <si>
    <t>JohnJopet.Nalupano@pearson.com</t>
  </si>
  <si>
    <t>LorelieJane.Nocon@pearson.com</t>
  </si>
  <si>
    <t>Paul.Romero@pearson.com</t>
  </si>
  <si>
    <t>MaryJean.Severino@pearson.com</t>
  </si>
  <si>
    <t>TaraYazmine.Palagtiosa@pearson.com</t>
  </si>
  <si>
    <t>jorinna.bautista@pearson.com</t>
  </si>
  <si>
    <t>charmaine.regencia@pearson.com</t>
  </si>
  <si>
    <t>conrado.cruz@pearson.com</t>
  </si>
  <si>
    <t>liberty.agapan@pearson.com</t>
  </si>
  <si>
    <t>ralph.sugata-on@pearson.com</t>
  </si>
  <si>
    <t>bryan.cave@pearson.com</t>
  </si>
  <si>
    <t>arlo.arellano@pearson.com</t>
  </si>
  <si>
    <t>ramil.villarosa@pearson.com</t>
  </si>
  <si>
    <t>rezelmay.penalosa@pearson.com</t>
  </si>
  <si>
    <t>beejay.ercilla@pearson.com</t>
  </si>
  <si>
    <t>MarkLouie.Deniega@pearson.com</t>
  </si>
  <si>
    <t>Cathlene.Tablizo@pearson.com</t>
  </si>
  <si>
    <t>Bembie.Llanza@pearson.com</t>
  </si>
  <si>
    <t>terencerobert.deleon@pearson.com</t>
  </si>
  <si>
    <t>Mary.JaneObellon@pearson.com</t>
  </si>
  <si>
    <t>pamelaandrea.ronquillo@pearson.com</t>
  </si>
  <si>
    <t>mylan.dela@pearson.com</t>
  </si>
  <si>
    <t>harry.gonzales@pearson.com</t>
  </si>
  <si>
    <t>christian.tayo@pearson.com</t>
  </si>
  <si>
    <t>RhonelJohn.Vaflor@pearson.com</t>
  </si>
  <si>
    <t>genesisgomer.bancale@pearson.com</t>
  </si>
  <si>
    <t>maisabel.copino@pearson.com</t>
  </si>
  <si>
    <t>JeanVlain.Aguiting@pearson.com</t>
  </si>
  <si>
    <t>jhon.vargas@pearson.com</t>
  </si>
  <si>
    <t>Leslie.AnnLigon@pearson.com</t>
  </si>
  <si>
    <t>christiandaniel.apostol@pearson.com</t>
  </si>
  <si>
    <t>johnmarco.motilla@pearson.com</t>
  </si>
  <si>
    <t>christopher.llenarezas@pearson.com</t>
  </si>
  <si>
    <t>adrian.esguerra@pearson.com</t>
  </si>
  <si>
    <t>shiena.lotivio@pearson.com</t>
  </si>
  <si>
    <t>devemer.salvador1@pearson.com</t>
  </si>
  <si>
    <t>mark.tan@pearson.com</t>
  </si>
  <si>
    <t>patricia.libiran@pearson.com</t>
  </si>
  <si>
    <t>ralphgiovanni.patricio@pearson.com</t>
  </si>
  <si>
    <t>jumel.pineda@pearson.com</t>
  </si>
  <si>
    <t>ronell.pura@pearson.com</t>
  </si>
  <si>
    <t>kylejohn.beroya@pearson.com</t>
  </si>
  <si>
    <t>Kneesa.Cruz@pearson.com</t>
  </si>
  <si>
    <t>mylene.santos@pearson.com</t>
  </si>
  <si>
    <t>Number of Randomize Pressed</t>
  </si>
  <si>
    <t>Subcategory 5</t>
  </si>
  <si>
    <t>An article is available to utilize but did not use to solve the issue. Quick fix was provided instead</t>
  </si>
  <si>
    <t>The agent escalated the issue without further research and troubleshooting (if applicable)</t>
  </si>
  <si>
    <t>The agent is not aware of the correct troubleshooting steps to perform to solve the issue</t>
  </si>
  <si>
    <t>Quickfix was provided without further validation of problem</t>
  </si>
  <si>
    <t>The agent did not follow the Access Guideline / Account Security Policy</t>
  </si>
  <si>
    <t>Incorrect expectation was set, the information that was provided is not on point</t>
  </si>
  <si>
    <t>The agent did not educate the customer of any possible cause or background behind the solution being provided onset of the transaction</t>
  </si>
  <si>
    <t>Explanations weren't provided even if there is an opportunity to do so</t>
  </si>
  <si>
    <t>Explanation was provided but incomplete / inaccurate</t>
  </si>
  <si>
    <t>SRT</t>
  </si>
  <si>
    <t>Recommend transaction</t>
  </si>
  <si>
    <t>Asking for the same question more than once considering how clear the information was provided</t>
  </si>
  <si>
    <t>The representative blatantly didn't inform the customer why he needs to be silent for a brief moment. Until the customer made a pulse check to see if the representative is still active.</t>
  </si>
  <si>
    <t>The agent placed the customer on hold without asking permission, the reason or timeframe</t>
  </si>
  <si>
    <t>The agent exceeded the timeframe that he provided before placing the customer on hold</t>
  </si>
  <si>
    <t>The agent took extraorinary amount of time to solve the issue. No repetition of process was made (refer to call flow)</t>
  </si>
  <si>
    <t>Irrelevant Question/s were asked during the transaction. (Questions that are not related and will surely not help solving the issue)</t>
  </si>
  <si>
    <t>The agent struggled with getting the information needed from the customer due to lack of technique</t>
  </si>
  <si>
    <t xml:space="preserve">One or more lapses occur.  Lapses may include those for subject-verb agreement, prepositions, verb tenses, etc. </t>
  </si>
  <si>
    <t xml:space="preserve">One more more errors in spelling, punctuation and capitalization occur. </t>
  </si>
  <si>
    <t>Instructions or responses are too long winded.  The customer gets more confused</t>
  </si>
  <si>
    <t>Is not able to adapt to the customer's profile for the duration of the interaction.  Example:  Treats controller like a thinker.  Or treats, feeler like a controller.)</t>
  </si>
  <si>
    <t>No assurance/empathy at all at any given specific situation where there's an opportunity to provide one</t>
  </si>
  <si>
    <t>The agent did not follow the disconnect policy</t>
  </si>
  <si>
    <t>Reso1</t>
  </si>
  <si>
    <t>Reso2</t>
  </si>
  <si>
    <t>Educ1</t>
  </si>
  <si>
    <t>Educ2</t>
  </si>
  <si>
    <t>Agent beats around the bush. Same information were provided over and over</t>
  </si>
  <si>
    <t>Listen1</t>
  </si>
  <si>
    <t>Listen2</t>
  </si>
  <si>
    <t>Time1</t>
  </si>
  <si>
    <t>Time2</t>
  </si>
  <si>
    <t>Probing1</t>
  </si>
  <si>
    <t>Probing2</t>
  </si>
  <si>
    <t>Easy1</t>
  </si>
  <si>
    <t>Easy2</t>
  </si>
  <si>
    <t>Easy3</t>
  </si>
  <si>
    <t>Discourse1</t>
  </si>
  <si>
    <t>Discourse2</t>
  </si>
  <si>
    <t>Discourse3</t>
  </si>
  <si>
    <t>Discourse4</t>
  </si>
  <si>
    <t>Fluency1</t>
  </si>
  <si>
    <t>Fluency2</t>
  </si>
  <si>
    <t>Fluency3</t>
  </si>
  <si>
    <t>Willingness1</t>
  </si>
  <si>
    <t>Transaction Info</t>
  </si>
  <si>
    <t>Discourse (Level 2)</t>
  </si>
  <si>
    <t>Interactive Fluency/Audience Awareness
(Level 2)</t>
  </si>
  <si>
    <t>Took ownership of the call/chat
(Level 2)</t>
  </si>
  <si>
    <t>Discourse (Level 3)</t>
  </si>
  <si>
    <t>Interactive Fluency/Audience Awareness
(Level 3)</t>
  </si>
  <si>
    <t>Took ownership of the call/chat
(Level 3)</t>
  </si>
  <si>
    <t>Other Information</t>
  </si>
  <si>
    <t>Call Summary</t>
  </si>
  <si>
    <t>Process Compliance &amp; Other</t>
  </si>
  <si>
    <t>Inaccurate and/or incomplete information was documented in the transaction (phone, chat &amp;  email)</t>
  </si>
  <si>
    <t>Opportunities were observed when following Access Code Guideline/Account Security</t>
  </si>
  <si>
    <t>Opportunities were observed when following the call/chat flow</t>
  </si>
  <si>
    <t>Challenges with providing the status of the case or any update (Callbacks)</t>
  </si>
  <si>
    <t>Agent was able to follow up with the customer after 48 hrs regarding the status of the issue</t>
  </si>
  <si>
    <t>Will you recommend this transaction as a good example to our clients?</t>
  </si>
  <si>
    <t>Integ Check</t>
  </si>
  <si>
    <t>Agent Profile</t>
  </si>
  <si>
    <t>Customer Profile</t>
  </si>
  <si>
    <t>1. Grammar / vocabulary lapses occur.  Lapses may include those for subject-verb agreement, prepositions, verb tenses, etc. 
- One or more instance for email
- Three or more instance for chat
* In Chat, self correction by the use of asterisk(*) will not be counted as an error.
* Excessive correction will merit "not meeting" (up to 5 or more corrections)</t>
  </si>
  <si>
    <t>EDU/STU/CMT/Escal/PS/Officer</t>
  </si>
  <si>
    <t>Wave Name</t>
  </si>
  <si>
    <t>Missouri</t>
  </si>
  <si>
    <t>Indiana</t>
  </si>
  <si>
    <t>Kentucky</t>
  </si>
  <si>
    <t>NSP5MIi</t>
  </si>
  <si>
    <t>Uranium</t>
  </si>
  <si>
    <t>Vanadium</t>
  </si>
  <si>
    <t>P5C4</t>
  </si>
  <si>
    <t>Hawaii</t>
  </si>
  <si>
    <t>P5D3</t>
  </si>
  <si>
    <t>Georgia</t>
  </si>
  <si>
    <t>NSP5Xi Aristotle</t>
  </si>
  <si>
    <t>NSP5MRc</t>
  </si>
  <si>
    <t>NSP5XT1i</t>
  </si>
  <si>
    <t>NSP5AP1i</t>
  </si>
  <si>
    <t>Maine</t>
  </si>
  <si>
    <t>P6E1</t>
  </si>
  <si>
    <t>NSP5XT2i</t>
  </si>
  <si>
    <t>P6D</t>
  </si>
  <si>
    <t>NSP5ML1i</t>
  </si>
  <si>
    <t>NSP5XH2i</t>
  </si>
  <si>
    <t>NSP5XQi</t>
  </si>
  <si>
    <t>NSP5XN1i</t>
  </si>
  <si>
    <t>NSP5AS2c</t>
  </si>
  <si>
    <t>Alabama</t>
  </si>
  <si>
    <t>Radium</t>
  </si>
  <si>
    <t>Titanium</t>
  </si>
  <si>
    <t>REP5XHi</t>
  </si>
  <si>
    <t>Naenette Lapore</t>
  </si>
  <si>
    <t>Kansas City Chiefs</t>
  </si>
  <si>
    <t>Friedrich</t>
  </si>
  <si>
    <t>Arkansas</t>
  </si>
  <si>
    <t>California</t>
  </si>
  <si>
    <t>Illinois</t>
  </si>
  <si>
    <t>Florida</t>
  </si>
  <si>
    <t>Victor Hugo</t>
  </si>
  <si>
    <t>NSP5AP2i</t>
  </si>
  <si>
    <t>IrIdium</t>
  </si>
  <si>
    <t>Louisiana</t>
  </si>
  <si>
    <t>Nevada</t>
  </si>
  <si>
    <t>Argon</t>
  </si>
  <si>
    <t>Oscar Dela Renta</t>
  </si>
  <si>
    <t>Arizona</t>
  </si>
  <si>
    <t>Alaska</t>
  </si>
  <si>
    <t>P5E1</t>
  </si>
  <si>
    <t>P5A</t>
  </si>
  <si>
    <t>Ulyana Sergeenko</t>
  </si>
  <si>
    <t>MaryLand</t>
  </si>
  <si>
    <t>P5D2</t>
  </si>
  <si>
    <t>Perry Ellis</t>
  </si>
  <si>
    <t>P6E2</t>
  </si>
  <si>
    <t>Idaho</t>
  </si>
  <si>
    <t>NSP5MG1i</t>
  </si>
  <si>
    <t>Minnesota</t>
  </si>
  <si>
    <t>Iowa</t>
  </si>
  <si>
    <t>Massachusetts</t>
  </si>
  <si>
    <t>Wave Illinois</t>
  </si>
  <si>
    <t>Krypton</t>
  </si>
  <si>
    <t>P6B2</t>
  </si>
  <si>
    <t>NSP5AP3i</t>
  </si>
  <si>
    <t>Helium</t>
  </si>
  <si>
    <t>William Shakespeare</t>
  </si>
  <si>
    <t>Neon</t>
  </si>
  <si>
    <t>NSP5XN2i</t>
  </si>
  <si>
    <t>Colorado</t>
  </si>
  <si>
    <t>NSP5MO1c/NSP5XO1i</t>
  </si>
  <si>
    <t>NSP5MG2i</t>
  </si>
  <si>
    <t>P5D4</t>
  </si>
  <si>
    <t>Delaware</t>
  </si>
  <si>
    <t>Michigan</t>
  </si>
  <si>
    <t>NSP5XK1c</t>
  </si>
  <si>
    <t>NSP5XO2i</t>
  </si>
  <si>
    <t>NSP5XH1i</t>
  </si>
  <si>
    <t>Montana</t>
  </si>
  <si>
    <t>NSP5XR2c</t>
  </si>
  <si>
    <t>NSP5XO3i</t>
  </si>
  <si>
    <t>Maryland</t>
  </si>
  <si>
    <t>P5E2</t>
  </si>
  <si>
    <t>Mississippi</t>
  </si>
  <si>
    <t>Xenon</t>
  </si>
  <si>
    <t>Louis Vuitton</t>
  </si>
  <si>
    <t>P5C1</t>
  </si>
  <si>
    <t>Coco Fennell</t>
  </si>
  <si>
    <t>Silicon</t>
  </si>
  <si>
    <t>NSP5XJ1i</t>
  </si>
  <si>
    <t>J.K. Rowling</t>
  </si>
  <si>
    <t>P6B1</t>
  </si>
  <si>
    <t>P5D1</t>
  </si>
  <si>
    <t>NSP5XK2c</t>
  </si>
  <si>
    <t>NSP5MO2c</t>
  </si>
  <si>
    <t>NSP5AS1c</t>
  </si>
  <si>
    <t>Bram Stoker</t>
  </si>
  <si>
    <t>NSP5XR1c</t>
  </si>
  <si>
    <t>RSP5XC1c</t>
  </si>
  <si>
    <t>RSP5XC2c</t>
  </si>
  <si>
    <t>Diptyque</t>
  </si>
  <si>
    <t>NSP5MO1i</t>
  </si>
  <si>
    <t>George Eliot</t>
  </si>
  <si>
    <t>Nebraska</t>
  </si>
  <si>
    <t>NSP5XN3i</t>
  </si>
  <si>
    <t>RSP5MAi</t>
  </si>
  <si>
    <t>NSP5Xi-Copernicus</t>
  </si>
  <si>
    <t>Ian McEwan</t>
  </si>
  <si>
    <t>Frank</t>
  </si>
  <si>
    <t>Edgar Allan Poe</t>
  </si>
  <si>
    <t>Leo Tolstoy</t>
  </si>
  <si>
    <t>Jacksonville Jaguars</t>
  </si>
  <si>
    <t>Arthur Conan Doyle</t>
  </si>
  <si>
    <t>UEP3Dc</t>
  </si>
  <si>
    <t>RSP5XGi</t>
  </si>
  <si>
    <t>NSP5Xc - Boyle</t>
  </si>
  <si>
    <t>NSP5Xc-Darwin</t>
  </si>
  <si>
    <t>RSP5ACc</t>
  </si>
  <si>
    <t>RSP5XFi</t>
  </si>
  <si>
    <t>Bookseller / Distributor</t>
  </si>
  <si>
    <t>eBook 3.0</t>
  </si>
  <si>
    <t>enVision</t>
  </si>
  <si>
    <t>Get Ready for A&amp;P</t>
  </si>
  <si>
    <t>Learning Studio</t>
  </si>
  <si>
    <t>MasteringComputerScience</t>
  </si>
  <si>
    <t>MasteringGeology</t>
  </si>
  <si>
    <t>MasteringHealth</t>
  </si>
  <si>
    <t>MasteringMeteorology</t>
  </si>
  <si>
    <t>MathXL for Easybridge</t>
  </si>
  <si>
    <t>MTLE Expanded Study Guide</t>
  </si>
  <si>
    <t>MyA&amp;P Place</t>
  </si>
  <si>
    <t>MyBiology Place</t>
  </si>
  <si>
    <t>MyCareerSuccessLab</t>
  </si>
  <si>
    <t>MyCommunicationLab</t>
  </si>
  <si>
    <t>MyLab I en espanol</t>
  </si>
  <si>
    <t>MyLab I South Africa</t>
  </si>
  <si>
    <t>MyLab I version francaise</t>
  </si>
  <si>
    <t>MyMarketingExperience</t>
  </si>
  <si>
    <t>MyMathLab version francaise</t>
  </si>
  <si>
    <t>NCLEX Reviews &amp; Rationales</t>
  </si>
  <si>
    <t>Neighborhood 2.0</t>
  </si>
  <si>
    <t>OAE Expanded Study Guides</t>
  </si>
  <si>
    <t>Pearson English</t>
  </si>
  <si>
    <t>Pearson Online English</t>
  </si>
  <si>
    <t>Pearson Reader 1.0 &amp; 2.0</t>
  </si>
  <si>
    <t>Pearson Technology Group</t>
  </si>
  <si>
    <t>Praxis Series</t>
  </si>
  <si>
    <t>Psychology</t>
  </si>
  <si>
    <t>REVEL</t>
  </si>
  <si>
    <t>Special Education</t>
  </si>
  <si>
    <t>Versant Speaking Test</t>
  </si>
  <si>
    <t>XTRA</t>
  </si>
  <si>
    <t>Pearson Vue</t>
  </si>
  <si>
    <t>Linking/Unlinking Accounts (Sec Instr Only)</t>
  </si>
  <si>
    <t>Need to change role</t>
  </si>
  <si>
    <t>Learning Aids</t>
  </si>
  <si>
    <t>Mobile App</t>
  </si>
  <si>
    <t>Missing Instructor Options</t>
  </si>
  <si>
    <t>Course1</t>
  </si>
  <si>
    <t>Course2</t>
  </si>
  <si>
    <t>Course3</t>
  </si>
  <si>
    <t>Purchase Options Not Available</t>
  </si>
  <si>
    <t>How to enroll</t>
  </si>
  <si>
    <t>How to purchase online</t>
  </si>
  <si>
    <t>Welcome Email Not Received</t>
  </si>
  <si>
    <t>Blue Jeans</t>
  </si>
  <si>
    <t>Cannot Replicate</t>
  </si>
  <si>
    <t>Changed book (Mastering)
Adjust User Status (Mastering)</t>
  </si>
  <si>
    <t>Clear High Stakes (XL)
Adjust User Role (XL)</t>
  </si>
  <si>
    <t>Cleared Pending Charges On Account</t>
  </si>
  <si>
    <t xml:space="preserve">Customer Reports Issue As Resolved </t>
  </si>
  <si>
    <t>Edit Account Info</t>
  </si>
  <si>
    <t>Fixed Deny Account Modify</t>
  </si>
  <si>
    <t>Sent Welcome Email</t>
  </si>
  <si>
    <t>Unlink Account (3PL)</t>
  </si>
  <si>
    <t>Access Code Already Redeemed</t>
  </si>
  <si>
    <t>Student purchased MMND, needed Standalone</t>
  </si>
  <si>
    <t>Student purchased wrong code</t>
  </si>
  <si>
    <t xml:space="preserve">"Get Trained” Page </t>
  </si>
  <si>
    <t>3rd Party LMS
3rd Party Security Software</t>
  </si>
  <si>
    <t xml:space="preserve">Online Help System </t>
  </si>
  <si>
    <t>PoP School Bookstore
PoP MyPearsonStore
Pop MBS</t>
  </si>
  <si>
    <t xml:space="preserve">Purchase Access </t>
  </si>
  <si>
    <t>In Course Navigation</t>
  </si>
  <si>
    <t xml:space="preserve">Provided Guidance </t>
  </si>
  <si>
    <t xml:space="preserve">Provided KB </t>
  </si>
  <si>
    <t>P8</t>
  </si>
  <si>
    <t>asd</t>
  </si>
  <si>
    <t>qwerty</t>
  </si>
  <si>
    <t>Ease of Understandability</t>
  </si>
  <si>
    <r>
      <t xml:space="preserve">1. </t>
    </r>
    <r>
      <rPr>
        <b/>
        <sz val="10"/>
        <color theme="1"/>
        <rFont val="HP Simplified"/>
      </rPr>
      <t>For Phone:</t>
    </r>
    <r>
      <rPr>
        <sz val="10"/>
        <color theme="1"/>
        <rFont val="HP Simplified"/>
      </rPr>
      <t xml:space="preserve"> Agent displayed active listening and validates the information when necessary
</t>
    </r>
    <r>
      <rPr>
        <b/>
        <sz val="10"/>
        <color theme="1"/>
        <rFont val="HP Simplified"/>
      </rPr>
      <t>For Chat:</t>
    </r>
    <r>
      <rPr>
        <sz val="10"/>
        <color theme="1"/>
        <rFont val="HP Simplified"/>
      </rPr>
      <t xml:space="preserve"> Agent displayed proper reading comprehension and validates when necessary.</t>
    </r>
  </si>
  <si>
    <t>Asked questions regarding information that's clearly given</t>
  </si>
  <si>
    <t>Asked irrelevant questions</t>
  </si>
  <si>
    <t>Listens/Reads to respond instead of understand</t>
  </si>
  <si>
    <t>Agent still asks for the same information during the latter part of the call/chat/email</t>
  </si>
  <si>
    <t>If the agent provides troubleshooting steps that were already provided during an earlier conversation or if this was mentioned at the start of the current conversation</t>
  </si>
  <si>
    <t>2. The agent reviewed the customer's  issue and took note of relevant information. The agent also reviews the related cases and checks all the information provided by the previous representative to avoid any repetition.</t>
  </si>
  <si>
    <r>
      <t xml:space="preserve">1. Irrelevant Question/s were asked during the transaction. (Questions that are not related and will surely not help solving the issue)
Example:
Issue: </t>
    </r>
    <r>
      <rPr>
        <b/>
        <i/>
        <sz val="10"/>
        <color theme="1"/>
        <rFont val="HP Simplified"/>
      </rPr>
      <t xml:space="preserve">Product mismatch
</t>
    </r>
    <r>
      <rPr>
        <sz val="10"/>
        <color theme="1"/>
        <rFont val="HP Simplified"/>
      </rPr>
      <t xml:space="preserve">Agent's question: </t>
    </r>
    <r>
      <rPr>
        <b/>
        <i/>
        <sz val="10"/>
        <color theme="1"/>
        <rFont val="HP Simplified"/>
      </rPr>
      <t>When was the first time you've encouter this?</t>
    </r>
  </si>
  <si>
    <r>
      <t xml:space="preserve">Easy to understand
</t>
    </r>
    <r>
      <rPr>
        <b/>
        <sz val="10"/>
        <color rgb="FFFF0000"/>
        <rFont val="HP Simplified"/>
      </rPr>
      <t>** Customer Facing **</t>
    </r>
  </si>
  <si>
    <r>
      <rPr>
        <b/>
        <i/>
        <sz val="10"/>
        <color theme="1"/>
        <rFont val="HP Simplified"/>
      </rPr>
      <t>*For Non-voice transaction*</t>
    </r>
    <r>
      <rPr>
        <sz val="10"/>
        <color theme="1"/>
        <rFont val="HP Simplified"/>
      </rPr>
      <t xml:space="preserve">
1. Grammar and vocabulary is accurate.</t>
    </r>
  </si>
  <si>
    <r>
      <rPr>
        <b/>
        <i/>
        <sz val="10"/>
        <color theme="1"/>
        <rFont val="HP Simplified"/>
      </rPr>
      <t>*For Non-voice transaction*</t>
    </r>
    <r>
      <rPr>
        <sz val="10"/>
        <color theme="1"/>
        <rFont val="HP Simplified"/>
      </rPr>
      <t xml:space="preserve">
2. Rules in spelling, punctuation and capitalization are followed. </t>
    </r>
  </si>
  <si>
    <r>
      <t>2. Errors in spelling, punctuation and capitalization occur</t>
    </r>
    <r>
      <rPr>
        <b/>
        <sz val="10"/>
        <color rgb="FFFF0000"/>
        <rFont val="HP Simplified"/>
      </rPr>
      <t xml:space="preserve">
</t>
    </r>
    <r>
      <rPr>
        <sz val="10"/>
        <rFont val="HP Simplified"/>
      </rPr>
      <t>- One or more instance for email
- Three or more instance for chat
* In Chat, self correction by the use of asterisk(*) will not be counted as an error.
* Excessive correction will merit "not meeting" (up to 5 or more corrections)</t>
    </r>
  </si>
  <si>
    <r>
      <t xml:space="preserve">3. Agent does not deliver resolution in a positive way
</t>
    </r>
    <r>
      <rPr>
        <b/>
        <sz val="10"/>
        <color theme="1"/>
        <rFont val="HP Simplified"/>
      </rPr>
      <t>Note:</t>
    </r>
    <r>
      <rPr>
        <sz val="10"/>
        <color theme="1"/>
        <rFont val="HP Simplified"/>
      </rPr>
      <t xml:space="preserve"> An effective agent should focus on the things that he </t>
    </r>
    <r>
      <rPr>
        <b/>
        <u/>
        <sz val="10"/>
        <color rgb="FF00B050"/>
        <rFont val="HP Simplified"/>
      </rPr>
      <t>can</t>
    </r>
    <r>
      <rPr>
        <sz val="10"/>
        <color theme="1"/>
        <rFont val="HP Simplified"/>
      </rPr>
      <t xml:space="preserve"> do vs. what he </t>
    </r>
    <r>
      <rPr>
        <b/>
        <sz val="10"/>
        <color rgb="FFFF0000"/>
        <rFont val="HP Simplified"/>
      </rPr>
      <t>cannot</t>
    </r>
    <r>
      <rPr>
        <sz val="10"/>
        <color theme="1"/>
        <rFont val="HP Simplified"/>
      </rPr>
      <t>.</t>
    </r>
  </si>
  <si>
    <r>
      <t xml:space="preserve">5. Instructions or responses are too long winded.  The customer gets more confused
</t>
    </r>
    <r>
      <rPr>
        <b/>
        <sz val="10"/>
        <color theme="1"/>
        <rFont val="HP Simplified"/>
      </rPr>
      <t>(tone or through words from the customer should be evident)</t>
    </r>
  </si>
  <si>
    <r>
      <t xml:space="preserve">6. Agent beats around the bush. Explanations given to the customer were the same without finding a way to modify the verbatim that was provided previously.
</t>
    </r>
    <r>
      <rPr>
        <b/>
        <sz val="10"/>
        <color theme="1"/>
        <rFont val="HP Simplified"/>
      </rPr>
      <t>Example:</t>
    </r>
    <r>
      <rPr>
        <sz val="10"/>
        <color theme="1"/>
        <rFont val="HP Simplified"/>
      </rPr>
      <t xml:space="preserve">
1st Reply: Please contact your sales representative for further asssitance.
2nd Reply: </t>
    </r>
    <r>
      <rPr>
        <b/>
        <i/>
        <sz val="10"/>
        <color rgb="FFFF0000"/>
        <rFont val="HP Simplified"/>
      </rPr>
      <t>Like I said</t>
    </r>
    <r>
      <rPr>
        <sz val="10"/>
        <color theme="1"/>
        <rFont val="HP Simplified"/>
      </rPr>
      <t>, contact your sales representative.</t>
    </r>
  </si>
  <si>
    <r>
      <t xml:space="preserve">1. Provides responses that are inappropriate for the comment given.  
</t>
    </r>
    <r>
      <rPr>
        <b/>
        <sz val="10"/>
        <color theme="1"/>
        <rFont val="HP Simplified"/>
      </rPr>
      <t>Example:</t>
    </r>
    <r>
      <rPr>
        <sz val="10"/>
        <color theme="1"/>
        <rFont val="HP Simplified"/>
      </rPr>
      <t xml:space="preserve"> 
Customer: ""Thanks for nothing!"" 
Agent: ""</t>
    </r>
    <r>
      <rPr>
        <b/>
        <sz val="10"/>
        <color rgb="FFFF0000"/>
        <rFont val="HP Simplified"/>
      </rPr>
      <t>You're welcome.</t>
    </r>
    <r>
      <rPr>
        <sz val="10"/>
        <color theme="1"/>
        <rFont val="HP Simplified"/>
      </rPr>
      <t>"
Customer: ""I'm really upset right now."" 
Agent: ""</t>
    </r>
    <r>
      <rPr>
        <b/>
        <sz val="10"/>
        <color rgb="FFFF0000"/>
        <rFont val="HP Simplified"/>
      </rPr>
      <t>Okay.</t>
    </r>
    <r>
      <rPr>
        <sz val="10"/>
        <color theme="1"/>
        <rFont val="HP Simplified"/>
      </rPr>
      <t>""</t>
    </r>
  </si>
  <si>
    <r>
      <t xml:space="preserve">3. Is not able to adapt to the customer's profile for the duration of the interaction.
</t>
    </r>
    <r>
      <rPr>
        <b/>
        <sz val="10"/>
        <color theme="1"/>
        <rFont val="HP Simplified"/>
      </rPr>
      <t xml:space="preserve">Example: </t>
    </r>
    <r>
      <rPr>
        <sz val="10"/>
        <color theme="1"/>
        <rFont val="HP Simplified"/>
      </rPr>
      <t xml:space="preserve"> Treats controller like a thinker.  Or treats, feeler like a controller.)</t>
    </r>
  </si>
  <si>
    <r>
      <t>1. Delayed Opening Spiel (</t>
    </r>
    <r>
      <rPr>
        <b/>
        <sz val="10"/>
        <color theme="1"/>
        <rFont val="HP Simplified"/>
      </rPr>
      <t>9 seconds of dead air after IVR</t>
    </r>
    <r>
      <rPr>
        <sz val="10"/>
        <color theme="1"/>
        <rFont val="HP Simplified"/>
      </rPr>
      <t>)</t>
    </r>
  </si>
  <si>
    <r>
      <t xml:space="preserve">2. The agent follow the disconnect policy
</t>
    </r>
    <r>
      <rPr>
        <b/>
        <sz val="10"/>
        <color theme="1"/>
        <rFont val="HP Simplified"/>
      </rPr>
      <t>Phone:</t>
    </r>
    <r>
      <rPr>
        <sz val="10"/>
        <color theme="1"/>
        <rFont val="HP Simplified"/>
      </rPr>
      <t xml:space="preserve"> If the call got disconnected and we were able to get enough information to support the customer, a call back should be done right away. If we are unable to reach the customer on phone, an email should be sent asking for further assistance
</t>
    </r>
    <r>
      <rPr>
        <b/>
        <sz val="10"/>
        <color theme="1"/>
        <rFont val="HP Simplified"/>
      </rPr>
      <t xml:space="preserve">Chat: </t>
    </r>
    <r>
      <rPr>
        <sz val="10"/>
        <color theme="1"/>
        <rFont val="HP Simplified"/>
      </rPr>
      <t>If the call got disconnected and we were able to get enough information to support the customer, an email should be sent asking for further assistance</t>
    </r>
  </si>
  <si>
    <r>
      <t xml:space="preserve">2. The agent did not follow the disconnect policy
</t>
    </r>
    <r>
      <rPr>
        <b/>
        <sz val="10"/>
        <color theme="1"/>
        <rFont val="HP Simplified"/>
      </rPr>
      <t>Scenario:</t>
    </r>
    <r>
      <rPr>
        <sz val="10"/>
        <color theme="1"/>
        <rFont val="HP Simplified"/>
      </rPr>
      <t xml:space="preserve"> </t>
    </r>
    <r>
      <rPr>
        <u/>
        <sz val="10"/>
        <color theme="1"/>
        <rFont val="HP Simplified"/>
      </rPr>
      <t>Transaction got disconnected</t>
    </r>
    <r>
      <rPr>
        <sz val="10"/>
        <color theme="1"/>
        <rFont val="HP Simplified"/>
      </rPr>
      <t xml:space="preserve">
Phone: Call the customer back. If the line is busy, send an e-mail and ask for further assistance or provide other findings (case-to-case basis)
Chat: Send an e-mail and ask for further assistance or provide other findings (case-to-case basis)</t>
    </r>
  </si>
  <si>
    <t>Unecessary Hold / Call Handling Awareness /
Response timeliness</t>
  </si>
  <si>
    <t>1.0 The customer reacted badly to excessive checks for completion and the agent is unresponsive to that reaction
1.1  No sense of urgency when customer states deadlines or timelines.
1.2  Customer asks agent to slow down more than twice and the agent disregards the request</t>
  </si>
  <si>
    <t>The customer reacted badly to excessive checks for completion and the agent is unresponsive to that reaction</t>
  </si>
  <si>
    <t>ds</t>
  </si>
  <si>
    <t>No sense of urgency when customer states deadlines or timelines</t>
  </si>
  <si>
    <t>Customer asks agent to slow down more than twice and the agent disregards the request</t>
  </si>
  <si>
    <t>2. The agent had to repeat the same information over and over without attempting to paraphrase or simplify statement/s</t>
  </si>
  <si>
    <t>Confused the customer by using jargon</t>
  </si>
  <si>
    <t>Skipped important steps with the assumption that the customer is tech savvy</t>
  </si>
  <si>
    <t>No adjustments made even when the customer voiced out confusion for simpler instructions</t>
  </si>
  <si>
    <t>Words used were inaccurate or are not real words</t>
  </si>
  <si>
    <t>Constantly gropes for words causing either excessive fillers or dead air</t>
  </si>
  <si>
    <t>Words are repeated without direction</t>
  </si>
  <si>
    <t>Literal transliterations are frequent.  These lapses confuse customers</t>
  </si>
  <si>
    <t>Customers may ask agents to repeat what they said more than twice</t>
  </si>
  <si>
    <t>Patterned lapses with SV agreement, verb tenses, prepositions, missing punctuation, misused capitalization</t>
  </si>
  <si>
    <t>Provide responses that are inappropriate for the comment given</t>
  </si>
  <si>
    <t>Sensitivity to customer nuances</t>
  </si>
  <si>
    <t>Agent outrightly stated the negative, with no explanation</t>
  </si>
  <si>
    <t>No other options offered ( if there are)</t>
  </si>
  <si>
    <t>Agent is unresponsive to caller cues</t>
  </si>
  <si>
    <t>Agent uses generic responses only even after customer restates special situation</t>
  </si>
  <si>
    <t xml:space="preserve">2.0 Agent is unresponsive to caller cues.
2.1 Agent uses generic responses only even after customer restates special situation. </t>
  </si>
  <si>
    <t>Agent's response is appropriate to the situation but the tone isn't</t>
  </si>
  <si>
    <t>Empathy, rapport / professionalism</t>
  </si>
  <si>
    <t>FCR Projection</t>
  </si>
  <si>
    <t>How likely will the customer contact us?</t>
  </si>
  <si>
    <t>Villanueva, Joselito</t>
  </si>
  <si>
    <t>Ala, Beverly</t>
  </si>
  <si>
    <t>Santia, Ma.Marjorie</t>
  </si>
  <si>
    <t>Francisco, Arjay</t>
  </si>
  <si>
    <t>Gaite, Jairus</t>
  </si>
  <si>
    <t>Ramos, Francis Louie</t>
  </si>
  <si>
    <t>Batac, Romeo</t>
  </si>
  <si>
    <t>Manandeg, Divine Jean</t>
  </si>
  <si>
    <t>Santosm Beau Erickson</t>
  </si>
  <si>
    <t>Marcelo, Peter John</t>
  </si>
  <si>
    <t>Oliveros, Eduard Jr.</t>
  </si>
  <si>
    <t>Alberca, John Jordan</t>
  </si>
  <si>
    <t>Mallinllin Jr., Jose Bernardo</t>
  </si>
  <si>
    <t>Flores, Steven</t>
  </si>
  <si>
    <t>-</t>
  </si>
  <si>
    <t>ECOMYYYAC</t>
  </si>
  <si>
    <t>P06</t>
  </si>
  <si>
    <t>ES-40</t>
  </si>
  <si>
    <t>ES-38</t>
  </si>
  <si>
    <t>EANTRANSFERS3</t>
  </si>
  <si>
    <t>ES-37</t>
  </si>
  <si>
    <t>Wave HC - 19</t>
  </si>
  <si>
    <t>ECOM - ES 10 C</t>
  </si>
  <si>
    <t>HC-5</t>
  </si>
  <si>
    <t>HC - 21</t>
  </si>
  <si>
    <t>ECOM - ES 6</t>
  </si>
  <si>
    <t>Abella, Jarmaine</t>
  </si>
  <si>
    <t>Fernandez, Herbert</t>
  </si>
  <si>
    <t>Gabertan, Jobelle</t>
  </si>
  <si>
    <t>Abdon, Karen</t>
  </si>
  <si>
    <t>Porciuncula, Chai Janecca</t>
  </si>
  <si>
    <t>Apolonio, Janeth</t>
  </si>
  <si>
    <t>Tamayo Jr., Amador Gugulan</t>
  </si>
  <si>
    <t>Concepcion, Jedidiah</t>
  </si>
  <si>
    <t>De Leon, Allen</t>
  </si>
  <si>
    <t>Serafica, Charlemagne</t>
  </si>
  <si>
    <t>Dayanan, Prince Emmanuelle</t>
  </si>
  <si>
    <t>Kwan, Maria Katrina Ariola</t>
  </si>
  <si>
    <t>Villafuerte Jr., Carlos Fontanilla</t>
  </si>
  <si>
    <t>Maramba, Mary Rose</t>
  </si>
  <si>
    <t>Dela Cruz, Mylan</t>
  </si>
  <si>
    <t>Esguerra , Adrian</t>
  </si>
  <si>
    <t>Delantar, Diana Joy</t>
  </si>
  <si>
    <t>Tubig, Eduard Gale</t>
  </si>
  <si>
    <t>Gonzales, Harry</t>
  </si>
  <si>
    <t>Lambino, Ruby</t>
  </si>
  <si>
    <t>Lotivio, Shiena Lou</t>
  </si>
  <si>
    <t>Naval, Jayson Aquino</t>
  </si>
  <si>
    <t>Regencia, Charmaine</t>
  </si>
  <si>
    <t>Salvador, Devemer</t>
  </si>
  <si>
    <t>Docdocil, Kristger</t>
  </si>
  <si>
    <t>Motilla, John Marco</t>
  </si>
  <si>
    <t>Santos, Mylene</t>
  </si>
  <si>
    <t>Tan, Mark Adrian</t>
  </si>
  <si>
    <t>Tayo, Christian Joseph</t>
  </si>
  <si>
    <t>Donato, Shaira</t>
  </si>
  <si>
    <t>Santos, Celeste</t>
  </si>
  <si>
    <t>YYY</t>
  </si>
  <si>
    <t>AB</t>
  </si>
  <si>
    <t>Positive Framing used / Providing Alternatives or Options</t>
  </si>
  <si>
    <t>5. Thought Organization
~ provides instructions in an organized manner
~ can  use cause &amp; effect, explains, defines, compares or contrasts whenever applicable"</t>
  </si>
  <si>
    <r>
      <t xml:space="preserve">4. Agent responses were adaptive and well suited to the situation (not generic). 
Agent builds a good impression as well as a strong connection with the caller as necessary.
</t>
    </r>
    <r>
      <rPr>
        <b/>
        <sz val="10"/>
        <color theme="1"/>
        <rFont val="HP Simplified"/>
      </rPr>
      <t>Empathy &amp; assurance are given</t>
    </r>
    <r>
      <rPr>
        <sz val="10"/>
        <color theme="1"/>
        <rFont val="HP Simplified"/>
      </rPr>
      <t xml:space="preserve"> if the </t>
    </r>
    <r>
      <rPr>
        <i/>
        <sz val="10"/>
        <color theme="1"/>
        <rFont val="HP Simplified"/>
      </rPr>
      <t xml:space="preserve">customer experienced inconvenience. </t>
    </r>
    <r>
      <rPr>
        <sz val="10"/>
        <color theme="1"/>
        <rFont val="HP Simplified"/>
      </rPr>
      <t xml:space="preserve">On the other hand, </t>
    </r>
    <r>
      <rPr>
        <b/>
        <sz val="10"/>
        <color theme="1"/>
        <rFont val="HP Simplified"/>
      </rPr>
      <t>assurance (only) is given</t>
    </r>
    <r>
      <rPr>
        <sz val="10"/>
        <color theme="1"/>
        <rFont val="HP Simplified"/>
      </rPr>
      <t xml:space="preserve"> </t>
    </r>
    <r>
      <rPr>
        <i/>
        <sz val="10"/>
        <color theme="1"/>
        <rFont val="HP Simplified"/>
      </rPr>
      <t>for inquirie
5. The agent see to it that there's no interruption was done intentionally
6. Customer is aggressive to the point of attacking the representative but the agent remained calm and compose</t>
    </r>
  </si>
  <si>
    <r>
      <t xml:space="preserve">4.0 No assurance/empathy at all at any given specific situation where there's an opportunity to provide one
4.1  Agent's response is appropriate to the situation but the tone isn't.  
Example:  </t>
    </r>
    <r>
      <rPr>
        <u/>
        <sz val="10"/>
        <color theme="1"/>
        <rFont val="HP Simplified"/>
      </rPr>
      <t>Caller is frustrated</t>
    </r>
    <r>
      <rPr>
        <sz val="10"/>
        <color theme="1"/>
        <rFont val="HP Simplified"/>
      </rPr>
      <t xml:space="preserve">.  </t>
    </r>
    <r>
      <rPr>
        <b/>
        <sz val="10"/>
        <color rgb="FF00A249"/>
        <rFont val="HP Simplified"/>
      </rPr>
      <t>Agent is able to personalize statement</t>
    </r>
    <r>
      <rPr>
        <sz val="10"/>
        <color theme="1"/>
        <rFont val="HP Simplified"/>
      </rPr>
      <t xml:space="preserve"> but </t>
    </r>
    <r>
      <rPr>
        <sz val="10"/>
        <color rgb="FFFF0000"/>
        <rFont val="HP Simplified"/>
      </rPr>
      <t>sounds unconcerned</t>
    </r>
    <r>
      <rPr>
        <sz val="10"/>
        <color theme="1"/>
        <rFont val="HP Simplified"/>
      </rPr>
      <t xml:space="preserve">
5. The agent blatantly interrupted while the customer is talking
Note: </t>
    </r>
    <r>
      <rPr>
        <u/>
        <sz val="10"/>
        <color theme="1"/>
        <rFont val="HP Simplified"/>
      </rPr>
      <t>Check for the intent of the agent</t>
    </r>
    <r>
      <rPr>
        <sz val="10"/>
        <color theme="1"/>
        <rFont val="HP Simplified"/>
      </rPr>
      <t>. See if the agent is becoming defensive or leaning towards rudeness
6.0 Arguing with the customer at any point of the transaction
6.1 Inappropriate response (sarcasm, tone, malicious responses, invasion of privacy of customer &amp; cultural sensitivity)
6.2 Disconnecting the call/chat intentionally especially if the call/chat did not go well (requesting for a supervisor then the call/chat got disconnected)</t>
    </r>
  </si>
  <si>
    <t>The agent blatantly interrupted while the customer is talking</t>
  </si>
  <si>
    <t>Arguing with the customer at any point of the transaction</t>
  </si>
  <si>
    <t>Inappropriate response (sarcasm, tone, malicious responses, invasion of privacy of customer &amp; cultural sensitivity)</t>
  </si>
  <si>
    <t>Disconnecting the call/chat intentionally especially if the call/chat did not go well (requesting for a supervisor then the call/chat got disconnected)</t>
  </si>
  <si>
    <t>Vocamus Integrity Check</t>
  </si>
  <si>
    <t>(For Vocamus) Are the questions by the facilitator leading towards the solution?</t>
  </si>
  <si>
    <t>Language Accuracy</t>
  </si>
  <si>
    <t>Knowledge</t>
  </si>
  <si>
    <t>Language</t>
  </si>
  <si>
    <t>Tool</t>
  </si>
  <si>
    <t>Knowledge:</t>
  </si>
  <si>
    <t>Language:</t>
  </si>
  <si>
    <t>Tool:</t>
  </si>
  <si>
    <t>Rating</t>
  </si>
  <si>
    <t>Skill Matrix</t>
  </si>
  <si>
    <t>1. An article/tool is available to utilize but did not use to solve the issue. Quick fix was provided instead</t>
  </si>
  <si>
    <r>
      <t xml:space="preserve">6. The agent did not follow the Access Guideline / Account Security Policy when providing the solution
</t>
    </r>
    <r>
      <rPr>
        <b/>
        <sz val="10"/>
        <color theme="1"/>
        <rFont val="HP Simplified"/>
      </rPr>
      <t>Note:</t>
    </r>
    <r>
      <rPr>
        <sz val="10"/>
        <color theme="1"/>
        <rFont val="HP Simplified"/>
      </rPr>
      <t xml:space="preserve"> </t>
    </r>
    <r>
      <rPr>
        <sz val="10"/>
        <color rgb="FFFF0000"/>
        <rFont val="HP Simplified"/>
      </rPr>
      <t>Process related opportunities such as adding a case number in the account details, etc. should is not covered in this rule as it is part of process compliance already</t>
    </r>
  </si>
  <si>
    <r>
      <t xml:space="preserve">1. Incorrect expectation was set, the information that was provided is not on point </t>
    </r>
    <r>
      <rPr>
        <sz val="10"/>
        <color rgb="FFFF0000"/>
        <rFont val="HP Simplified"/>
      </rPr>
      <t xml:space="preserve">based from the solution given by the agent </t>
    </r>
    <r>
      <rPr>
        <sz val="10"/>
        <color theme="1"/>
        <rFont val="HP Simplified"/>
      </rPr>
      <t xml:space="preserve"> (even if the solution that was provided is incorrect)</t>
    </r>
  </si>
  <si>
    <r>
      <t xml:space="preserve">4. Explanation was provided but incomplete / inaccurate </t>
    </r>
    <r>
      <rPr>
        <sz val="10"/>
        <color rgb="FFFF0000"/>
        <rFont val="HP Simplified"/>
      </rPr>
      <t>based from the solution</t>
    </r>
    <r>
      <rPr>
        <sz val="10"/>
        <color theme="1"/>
        <rFont val="HP Simplified"/>
      </rPr>
      <t xml:space="preserve"> given by the agent (even if the solution that was provided is incorrect)</t>
    </r>
  </si>
  <si>
    <r>
      <t>1.1 Asking for the same question more than once considering how clear the information was provided
1.2 Asked questions regarding information that's clearly given.
Examples:
- Agent asks for the error message even when customer already gave it. 
- Agent asks if the course is for MyMathLab when the customer already gave that info: at the start, 'Hi. I'm having issues with my MyMathLab homework."
- The agent asked for the that same information that is already present in the case note (for phone &amp; chat) (</t>
    </r>
    <r>
      <rPr>
        <b/>
        <i/>
        <sz val="10"/>
        <color theme="1"/>
        <rFont val="HP Simplified"/>
      </rPr>
      <t>we could've reviewed the information through clarification instead of blatantly asking for the same information that is already present</t>
    </r>
    <r>
      <rPr>
        <sz val="10"/>
        <color theme="1"/>
        <rFont val="HP Simplified"/>
      </rPr>
      <t xml:space="preserve">)
1.3 Asked irrelevant questions.  (Same example as above)
Example:  If it's a simple invalid access code issue and the agent keeps asking the customer for his login credentials. </t>
    </r>
  </si>
  <si>
    <t>2.0  Agent still asks for the same information during the latter part of the call/chat/email even if the customer already provided that information during the early part of the transaction. 
2.1  If the agent failed to validate the previous solutions given by a different agent/s and proceed with troubleshooting steps that were already provided earlier or if this was mentioned at the start of the current conversation.</t>
  </si>
  <si>
    <t>1. The representative provides update to the customer in a timely manner</t>
  </si>
  <si>
    <r>
      <t xml:space="preserve">1. The agent exceeded the threshold of:
Phone = 30 secs.
Chat = 2 mins.
</t>
    </r>
    <r>
      <rPr>
        <sz val="10"/>
        <color rgb="FFFF0000"/>
        <rFont val="HP Simplified"/>
      </rPr>
      <t>*Strict guideline should be implemented, 31 secs. For phone or 2 minutes and 1 second in chat will merit "Not Meeting" tagging</t>
    </r>
  </si>
  <si>
    <r>
      <t xml:space="preserve">2. The agent placed the customer on hold without asking permission, the reason or timeframe
</t>
    </r>
    <r>
      <rPr>
        <b/>
        <sz val="10"/>
        <color theme="1"/>
        <rFont val="HP Simplified"/>
      </rPr>
      <t>Note:</t>
    </r>
    <r>
      <rPr>
        <sz val="10"/>
        <color theme="1"/>
        <rFont val="HP Simplified"/>
      </rPr>
      <t xml:space="preserve"> </t>
    </r>
    <r>
      <rPr>
        <sz val="10"/>
        <color rgb="FFFF0000"/>
        <rFont val="HP Simplified"/>
      </rPr>
      <t xml:space="preserve">"few minutes" is not allowed to say unless the agent needs to advance the case
</t>
    </r>
    <r>
      <rPr>
        <b/>
        <sz val="10"/>
        <color theme="1"/>
        <rFont val="HP Simplified"/>
      </rPr>
      <t>Guidelines when placing the customer on hold:</t>
    </r>
    <r>
      <rPr>
        <sz val="10"/>
        <color rgb="FFFF0000"/>
        <rFont val="HP Simplified"/>
      </rPr>
      <t xml:space="preserve">
1. Ask permission. Make sure that the customer understand that he/she will be placed on hold.
Note: "</t>
    </r>
    <r>
      <rPr>
        <b/>
        <i/>
        <sz val="10"/>
        <color rgb="FFFF0000"/>
        <rFont val="HP Simplified"/>
      </rPr>
      <t>One moment please</t>
    </r>
    <r>
      <rPr>
        <sz val="10"/>
        <color rgb="FFFF0000"/>
        <rFont val="HP Simplified"/>
      </rPr>
      <t>" is not considered as hold
2. Provide the duration of hold
3. Wait for the customer's approval
4. Thank the customer after coming back</t>
    </r>
  </si>
  <si>
    <t>Need to cite the subcategories that were tagged as "easy" in terms of difficulty
To add, for advisories; it should be send first altogether with the expectations/workaround for the specific problem</t>
  </si>
  <si>
    <t>Accuracy and Discourse</t>
  </si>
  <si>
    <r>
      <t xml:space="preserve">4. The agent sounded disinterested / uncaring. No changes in tone all throughout the call even if the customer is already aggravated 
</t>
    </r>
    <r>
      <rPr>
        <b/>
        <sz val="10"/>
        <color theme="1"/>
        <rFont val="HP Simplified"/>
      </rPr>
      <t>Monotonous voice is unacceptable as it displays the said behavior</t>
    </r>
    <r>
      <rPr>
        <sz val="10"/>
        <color theme="1"/>
        <rFont val="HP Simplified"/>
      </rPr>
      <t xml:space="preserve">
(</t>
    </r>
    <r>
      <rPr>
        <b/>
        <sz val="10"/>
        <color theme="1"/>
        <rFont val="HP Simplified"/>
      </rPr>
      <t>tone or through words from the customer should be evident</t>
    </r>
    <r>
      <rPr>
        <sz val="10"/>
        <color theme="1"/>
        <rFont val="HP Simplified"/>
      </rPr>
      <t>)</t>
    </r>
  </si>
  <si>
    <t>Different example needed. Something that is mouthful/wordy</t>
  </si>
  <si>
    <t>John, Doe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</si>
</sst>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ss"/>
    <numFmt numFmtId="165" formatCode="mmmm"/>
    <numFmt numFmtId="166" formatCode="\W\W00"/>
    <numFmt numFmtId="167" formatCode="[$-409]h:mm\ AM/PM;@"/>
  </numFmts>
  <fonts count="32">
    <font>
      <sz val="11"/>
      <color theme="1"/>
      <name val="Calibri"/>
      <family val="2"/>
      <scheme val="minor"/>
    </font>
    <font>
      <b/>
      <sz val="11"/>
      <color theme="0"/>
      <name val="Calibri"/>
      <family val="2"/>
      <scheme val="minor"/>
    </font>
    <font>
      <sz val="9"/>
      <color indexed="81"/>
      <name val="Tahoma"/>
      <family val="2"/>
    </font>
    <font>
      <b/>
      <sz val="9"/>
      <color indexed="81"/>
      <name val="Tahoma"/>
      <family val="2"/>
    </font>
    <font>
      <sz val="9"/>
      <color theme="3"/>
      <name val="Calibri"/>
      <family val="2"/>
      <scheme val="minor"/>
    </font>
    <font>
      <sz val="11"/>
      <color theme="1"/>
      <name val="Calibri"/>
      <family val="2"/>
      <scheme val="minor"/>
    </font>
    <font>
      <b/>
      <sz val="11"/>
      <color theme="1"/>
      <name val="Calibri"/>
      <family val="2"/>
      <scheme val="minor"/>
    </font>
    <font>
      <b/>
      <sz val="9"/>
      <name val="Calibri"/>
      <family val="2"/>
      <scheme val="minor"/>
    </font>
    <font>
      <sz val="9"/>
      <name val="Calibri"/>
      <family val="2"/>
      <scheme val="minor"/>
    </font>
    <font>
      <b/>
      <sz val="10"/>
      <color theme="1"/>
      <name val="Calibri"/>
      <family val="2"/>
      <scheme val="minor"/>
    </font>
    <font>
      <sz val="10"/>
      <color theme="1"/>
      <name val="Calibri"/>
      <family val="2"/>
      <scheme val="minor"/>
    </font>
    <font>
      <b/>
      <sz val="10"/>
      <color rgb="FFFF0000"/>
      <name val="Calibri"/>
      <family val="2"/>
      <scheme val="minor"/>
    </font>
    <font>
      <b/>
      <sz val="10"/>
      <name val="Calibri"/>
      <family val="2"/>
      <scheme val="minor"/>
    </font>
    <font>
      <b/>
      <sz val="9"/>
      <color theme="1"/>
      <name val="Calibri"/>
      <family val="2"/>
      <scheme val="minor"/>
    </font>
    <font>
      <sz val="9"/>
      <color theme="1"/>
      <name val="Calibri"/>
      <family val="2"/>
      <scheme val="minor"/>
    </font>
    <font>
      <sz val="11"/>
      <name val="Calibri"/>
      <family val="2"/>
      <scheme val="minor"/>
    </font>
    <font>
      <b/>
      <sz val="11"/>
      <name val="Calibri"/>
      <family val="2"/>
      <scheme val="minor"/>
    </font>
    <font>
      <b/>
      <sz val="9"/>
      <color theme="0"/>
      <name val="Calibri"/>
      <family val="2"/>
      <scheme val="minor"/>
    </font>
    <font>
      <b/>
      <sz val="10"/>
      <color theme="0"/>
      <name val="Calibri"/>
      <family val="2"/>
      <scheme val="minor"/>
    </font>
    <font>
      <sz val="8"/>
      <color rgb="FF000000"/>
      <name val="Tahoma"/>
      <family val="2"/>
    </font>
    <font>
      <sz val="10"/>
      <color theme="1"/>
      <name val="HP Simplified"/>
    </font>
    <font>
      <b/>
      <sz val="10"/>
      <color theme="1"/>
      <name val="HP Simplified"/>
    </font>
    <font>
      <b/>
      <sz val="10"/>
      <color theme="0"/>
      <name val="HP Simplified"/>
    </font>
    <font>
      <b/>
      <i/>
      <sz val="10"/>
      <color theme="1"/>
      <name val="HP Simplified"/>
    </font>
    <font>
      <b/>
      <sz val="10"/>
      <color rgb="FFFF0000"/>
      <name val="HP Simplified"/>
    </font>
    <font>
      <sz val="10"/>
      <name val="HP Simplified"/>
    </font>
    <font>
      <b/>
      <u/>
      <sz val="10"/>
      <color rgb="FF00B050"/>
      <name val="HP Simplified"/>
    </font>
    <font>
      <b/>
      <i/>
      <sz val="10"/>
      <color rgb="FFFF0000"/>
      <name val="HP Simplified"/>
    </font>
    <font>
      <i/>
      <sz val="10"/>
      <color theme="1"/>
      <name val="HP Simplified"/>
    </font>
    <font>
      <u/>
      <sz val="10"/>
      <color theme="1"/>
      <name val="HP Simplified"/>
    </font>
    <font>
      <sz val="10"/>
      <color rgb="FFFF0000"/>
      <name val="HP Simplified"/>
    </font>
    <font>
      <b/>
      <sz val="10"/>
      <color rgb="FF00A249"/>
      <name val="HP Simplified"/>
    </font>
  </fonts>
  <fills count="29">
    <fill>
      <patternFill patternType="none"/>
    </fill>
    <fill>
      <patternFill patternType="gray125"/>
    </fill>
    <fill>
      <patternFill patternType="solid">
        <fgColor theme="4" tint="0.39997558519241921"/>
        <bgColor indexed="64"/>
      </patternFill>
    </fill>
    <fill>
      <patternFill patternType="solid">
        <fgColor theme="1"/>
        <bgColor indexed="64"/>
      </patternFill>
    </fill>
    <fill>
      <patternFill patternType="solid">
        <fgColor theme="3"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bgColor indexed="64"/>
      </patternFill>
    </fill>
    <fill>
      <patternFill patternType="solid">
        <fgColor theme="9" tint="0.39997558519241921"/>
        <bgColor indexed="64"/>
      </patternFill>
    </fill>
    <fill>
      <patternFill patternType="solid">
        <fgColor rgb="FF92D050"/>
        <bgColor indexed="64"/>
      </patternFill>
    </fill>
    <fill>
      <patternFill patternType="solid">
        <fgColor theme="1" tint="0.34998626667073579"/>
        <bgColor indexed="64"/>
      </patternFill>
    </fill>
    <fill>
      <patternFill patternType="solid">
        <fgColor rgb="FF1A81D6"/>
        <bgColor indexed="64"/>
      </patternFill>
    </fill>
    <fill>
      <patternFill patternType="solid">
        <fgColor rgb="FFA4DFFA"/>
        <bgColor indexed="64"/>
      </patternFill>
    </fill>
    <fill>
      <patternFill patternType="solid">
        <fgColor rgb="FFF2F2AC"/>
        <bgColor indexed="64"/>
      </patternFill>
    </fill>
    <fill>
      <patternFill patternType="solid">
        <fgColor theme="9" tint="0.79998168889431442"/>
        <bgColor indexed="64"/>
      </patternFill>
    </fill>
    <fill>
      <patternFill patternType="solid">
        <fgColor rgb="FF00B050"/>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5"/>
        <bgColor indexed="64"/>
      </patternFill>
    </fill>
    <fill>
      <patternFill patternType="solid">
        <fgColor theme="9" tint="0.59999389629810485"/>
        <bgColor indexed="64"/>
      </patternFill>
    </fill>
  </fills>
  <borders count="89">
    <border>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double">
        <color rgb="FF002060"/>
      </left>
      <right style="double">
        <color rgb="FF002060"/>
      </right>
      <top style="double">
        <color rgb="FF002060"/>
      </top>
      <bottom style="double">
        <color rgb="FF002060"/>
      </bottom>
      <diagonal/>
    </border>
    <border>
      <left style="double">
        <color rgb="FF002060"/>
      </left>
      <right style="thin">
        <color rgb="FF002060"/>
      </right>
      <top style="thin">
        <color rgb="FF002060"/>
      </top>
      <bottom style="thin">
        <color rgb="FF002060"/>
      </bottom>
      <diagonal/>
    </border>
    <border>
      <left style="thin">
        <color rgb="FF002060"/>
      </left>
      <right style="thin">
        <color rgb="FF002060"/>
      </right>
      <top style="thin">
        <color rgb="FF002060"/>
      </top>
      <bottom style="thin">
        <color rgb="FF002060"/>
      </bottom>
      <diagonal/>
    </border>
    <border>
      <left style="thin">
        <color rgb="FF002060"/>
      </left>
      <right style="double">
        <color rgb="FF002060"/>
      </right>
      <top style="thin">
        <color rgb="FF002060"/>
      </top>
      <bottom style="thin">
        <color rgb="FF002060"/>
      </bottom>
      <diagonal/>
    </border>
    <border>
      <left style="double">
        <color rgb="FF002060"/>
      </left>
      <right style="thin">
        <color rgb="FF002060"/>
      </right>
      <top style="thin">
        <color rgb="FF002060"/>
      </top>
      <bottom style="double">
        <color rgb="FF002060"/>
      </bottom>
      <diagonal/>
    </border>
    <border>
      <left style="thin">
        <color rgb="FF002060"/>
      </left>
      <right style="thin">
        <color rgb="FF002060"/>
      </right>
      <top style="thin">
        <color rgb="FF002060"/>
      </top>
      <bottom style="double">
        <color rgb="FF002060"/>
      </bottom>
      <diagonal/>
    </border>
    <border>
      <left style="thin">
        <color rgb="FF002060"/>
      </left>
      <right style="double">
        <color rgb="FF002060"/>
      </right>
      <top style="thin">
        <color rgb="FF002060"/>
      </top>
      <bottom style="double">
        <color rgb="FF002060"/>
      </bottom>
      <diagonal/>
    </border>
    <border>
      <left style="double">
        <color rgb="FF002060"/>
      </left>
      <right/>
      <top/>
      <bottom style="thin">
        <color auto="1"/>
      </bottom>
      <diagonal/>
    </border>
    <border>
      <left style="double">
        <color rgb="FF002060"/>
      </left>
      <right/>
      <top style="thin">
        <color indexed="64"/>
      </top>
      <bottom/>
      <diagonal/>
    </border>
    <border>
      <left style="double">
        <color rgb="FF002060"/>
      </left>
      <right/>
      <top style="thin">
        <color indexed="64"/>
      </top>
      <bottom style="thin">
        <color indexed="64"/>
      </bottom>
      <diagonal/>
    </border>
    <border>
      <left/>
      <right style="double">
        <color rgb="FF002060"/>
      </right>
      <top/>
      <bottom style="thin">
        <color auto="1"/>
      </bottom>
      <diagonal/>
    </border>
    <border>
      <left/>
      <right style="double">
        <color rgb="FF002060"/>
      </right>
      <top style="thin">
        <color indexed="64"/>
      </top>
      <bottom/>
      <diagonal/>
    </border>
    <border>
      <left/>
      <right style="double">
        <color rgb="FF002060"/>
      </right>
      <top style="thin">
        <color indexed="64"/>
      </top>
      <bottom style="thin">
        <color indexed="64"/>
      </bottom>
      <diagonal/>
    </border>
    <border>
      <left style="double">
        <color rgb="FF002060"/>
      </left>
      <right style="double">
        <color rgb="FF002060"/>
      </right>
      <top/>
      <bottom style="thin">
        <color auto="1"/>
      </bottom>
      <diagonal/>
    </border>
    <border>
      <left style="double">
        <color rgb="FF002060"/>
      </left>
      <right/>
      <top style="double">
        <color rgb="FF002060"/>
      </top>
      <bottom style="double">
        <color rgb="FF00206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ck">
        <color indexed="64"/>
      </right>
      <top style="medium">
        <color indexed="64"/>
      </top>
      <bottom/>
      <diagonal/>
    </border>
    <border>
      <left/>
      <right style="medium">
        <color indexed="64"/>
      </right>
      <top style="medium">
        <color indexed="64"/>
      </top>
      <bottom/>
      <diagonal/>
    </border>
    <border>
      <left/>
      <right/>
      <top style="medium">
        <color indexed="64"/>
      </top>
      <bottom/>
      <diagonal/>
    </border>
    <border>
      <left style="thick">
        <color indexed="64"/>
      </left>
      <right/>
      <top style="medium">
        <color indexed="64"/>
      </top>
      <bottom/>
      <diagonal/>
    </border>
    <border>
      <left style="medium">
        <color indexed="64"/>
      </left>
      <right/>
      <top style="medium">
        <color indexed="64"/>
      </top>
      <bottom/>
      <diagonal/>
    </border>
    <border>
      <left/>
      <right style="medium">
        <color indexed="64"/>
      </right>
      <top/>
      <bottom style="medium">
        <color indexed="64"/>
      </bottom>
      <diagonal/>
    </border>
    <border>
      <left style="double">
        <color rgb="FF002060"/>
      </left>
      <right/>
      <top/>
      <bottom style="double">
        <color rgb="FF002060"/>
      </bottom>
      <diagonal/>
    </border>
    <border>
      <left style="double">
        <color rgb="FF002060"/>
      </left>
      <right style="thin">
        <color rgb="FF002060"/>
      </right>
      <top style="thin">
        <color rgb="FF002060"/>
      </top>
      <bottom/>
      <diagonal/>
    </border>
    <border>
      <left style="double">
        <color rgb="FF002060"/>
      </left>
      <right style="thin">
        <color rgb="FF002060"/>
      </right>
      <top style="double">
        <color rgb="FF002060"/>
      </top>
      <bottom style="double">
        <color rgb="FF002060"/>
      </bottom>
      <diagonal/>
    </border>
    <border>
      <left style="double">
        <color rgb="FF002060"/>
      </left>
      <right/>
      <top style="thin">
        <color rgb="FF002060"/>
      </top>
      <bottom style="thin">
        <color rgb="FF002060"/>
      </bottom>
      <diagonal/>
    </border>
    <border>
      <left style="double">
        <color rgb="FF002060"/>
      </left>
      <right/>
      <top style="thin">
        <color rgb="FF002060"/>
      </top>
      <bottom/>
      <diagonal/>
    </border>
    <border>
      <left style="double">
        <color rgb="FF002060"/>
      </left>
      <right style="double">
        <color rgb="FF002060"/>
      </right>
      <top style="thin">
        <color rgb="FF002060"/>
      </top>
      <bottom style="thin">
        <color rgb="FF002060"/>
      </bottom>
      <diagonal/>
    </border>
    <border>
      <left style="double">
        <color rgb="FF002060"/>
      </left>
      <right style="double">
        <color rgb="FF002060"/>
      </right>
      <top style="thin">
        <color rgb="FF002060"/>
      </top>
      <bottom/>
      <diagonal/>
    </border>
    <border>
      <left style="medium">
        <color indexed="64"/>
      </left>
      <right/>
      <top/>
      <bottom/>
      <diagonal/>
    </border>
    <border>
      <left style="double">
        <color rgb="FF002060"/>
      </left>
      <right style="double">
        <color rgb="FF002060"/>
      </right>
      <top/>
      <bottom style="double">
        <color rgb="FF00206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double">
        <color rgb="FF002060"/>
      </left>
      <right style="double">
        <color rgb="FF002060"/>
      </right>
      <top style="double">
        <color rgb="FF002060"/>
      </top>
      <bottom/>
      <diagonal/>
    </border>
    <border>
      <left style="double">
        <color rgb="FF002060"/>
      </left>
      <right style="double">
        <color rgb="FF002060"/>
      </right>
      <top/>
      <bottom/>
      <diagonal/>
    </border>
    <border>
      <left/>
      <right style="double">
        <color rgb="FF002060"/>
      </right>
      <top style="double">
        <color rgb="FF002060"/>
      </top>
      <bottom style="double">
        <color rgb="FF002060"/>
      </bottom>
      <diagonal/>
    </border>
    <border>
      <left/>
      <right/>
      <top style="double">
        <color rgb="FF002060"/>
      </top>
      <bottom style="double">
        <color rgb="FF002060"/>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style="thin">
        <color rgb="FF002060"/>
      </left>
      <right/>
      <top style="thin">
        <color rgb="FF002060"/>
      </top>
      <bottom style="double">
        <color rgb="FF002060"/>
      </bottom>
      <diagonal/>
    </border>
    <border>
      <left/>
      <right style="thin">
        <color rgb="FF002060"/>
      </right>
      <top style="thin">
        <color rgb="FF002060"/>
      </top>
      <bottom style="double">
        <color rgb="FF002060"/>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rgb="FF002060"/>
      </left>
      <right/>
      <top/>
      <bottom style="thin">
        <color rgb="FF002060"/>
      </bottom>
      <diagonal/>
    </border>
    <border>
      <left/>
      <right style="thin">
        <color rgb="FF002060"/>
      </right>
      <top/>
      <bottom style="thin">
        <color rgb="FF002060"/>
      </bottom>
      <diagonal/>
    </border>
    <border>
      <left style="thin">
        <color rgb="FF002060"/>
      </left>
      <right/>
      <top style="double">
        <color rgb="FF002060"/>
      </top>
      <bottom/>
      <diagonal/>
    </border>
    <border>
      <left/>
      <right style="thin">
        <color rgb="FF002060"/>
      </right>
      <top style="double">
        <color rgb="FF002060"/>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uble">
        <color rgb="FF002060"/>
      </left>
      <right style="double">
        <color rgb="FF002060"/>
      </right>
      <top style="double">
        <color rgb="FF002060"/>
      </top>
      <bottom style="thin">
        <color indexed="64"/>
      </bottom>
      <diagonal/>
    </border>
    <border>
      <left/>
      <right/>
      <top style="double">
        <color rgb="FF002060"/>
      </top>
      <bottom/>
      <diagonal/>
    </border>
    <border>
      <left/>
      <right/>
      <top/>
      <bottom style="medium">
        <color indexed="64"/>
      </bottom>
      <diagonal/>
    </border>
    <border>
      <left style="double">
        <color rgb="FF002060"/>
      </left>
      <right style="double">
        <color rgb="FF002060"/>
      </right>
      <top style="thin">
        <color rgb="FF002060"/>
      </top>
      <bottom style="double">
        <color rgb="FF002060"/>
      </bottom>
      <diagonal/>
    </border>
    <border>
      <left style="double">
        <color rgb="FF002060"/>
      </left>
      <right style="double">
        <color rgb="FF002060"/>
      </right>
      <top style="thin">
        <color auto="1"/>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bottom style="medium">
        <color indexed="64"/>
      </bottom>
      <diagonal/>
    </border>
    <border>
      <left/>
      <right style="thin">
        <color indexed="64"/>
      </right>
      <top/>
      <bottom/>
      <diagonal/>
    </border>
  </borders>
  <cellStyleXfs count="2">
    <xf numFmtId="0" fontId="0" fillId="0" borderId="0"/>
    <xf numFmtId="9" fontId="5" fillId="0" borderId="0" applyFont="0" applyFill="0" applyBorder="0" applyAlignment="0" applyProtection="0"/>
  </cellStyleXfs>
  <cellXfs count="262">
    <xf numFmtId="0" fontId="0" fillId="0" borderId="0" xfId="0"/>
    <xf numFmtId="0" fontId="0" fillId="0" borderId="0" xfId="0" applyAlignment="1">
      <alignment horizontal="center" vertical="center"/>
    </xf>
    <xf numFmtId="0" fontId="1" fillId="3" borderId="0" xfId="0" applyFont="1" applyFill="1" applyAlignment="1">
      <alignment horizontal="center"/>
    </xf>
    <xf numFmtId="0" fontId="0" fillId="0" borderId="0" xfId="0" applyAlignment="1">
      <alignment wrapText="1"/>
    </xf>
    <xf numFmtId="0" fontId="1" fillId="3" borderId="0" xfId="0" applyFont="1" applyFill="1"/>
    <xf numFmtId="0" fontId="1" fillId="4" borderId="0" xfId="0" applyFont="1" applyFill="1" applyAlignment="1">
      <alignment horizontal="center" vertical="center"/>
    </xf>
    <xf numFmtId="0" fontId="0" fillId="0" borderId="0" xfId="0" applyAlignment="1">
      <alignment horizontal="center"/>
    </xf>
    <xf numFmtId="0" fontId="0" fillId="0" borderId="2"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14" fontId="0" fillId="0" borderId="0" xfId="0" applyNumberFormat="1"/>
    <xf numFmtId="0" fontId="0" fillId="0" borderId="22" xfId="0" applyBorder="1"/>
    <xf numFmtId="164" fontId="4" fillId="0" borderId="7" xfId="0" applyNumberFormat="1" applyFont="1" applyBorder="1" applyAlignment="1" applyProtection="1">
      <alignment horizontal="center" vertical="center"/>
      <protection locked="0"/>
    </xf>
    <xf numFmtId="0" fontId="1" fillId="4" borderId="20" xfId="0" applyFont="1" applyFill="1" applyBorder="1" applyAlignment="1">
      <alignment horizontal="center"/>
    </xf>
    <xf numFmtId="0" fontId="9" fillId="3" borderId="23" xfId="0" applyFont="1" applyFill="1" applyBorder="1" applyAlignment="1">
      <alignment horizontal="center" vertical="center" wrapText="1"/>
    </xf>
    <xf numFmtId="0" fontId="10" fillId="9" borderId="0" xfId="0" applyFont="1" applyFill="1" applyAlignment="1">
      <alignment horizontal="center" vertical="center"/>
    </xf>
    <xf numFmtId="0" fontId="9" fillId="10" borderId="0" xfId="0" applyFont="1" applyFill="1" applyAlignment="1">
      <alignment horizontal="center" vertical="center"/>
    </xf>
    <xf numFmtId="0" fontId="10" fillId="10" borderId="0" xfId="0" applyFont="1" applyFill="1" applyAlignment="1">
      <alignment horizontal="center" vertical="center"/>
    </xf>
    <xf numFmtId="0" fontId="9" fillId="11" borderId="0" xfId="0" applyFont="1" applyFill="1" applyAlignment="1">
      <alignment horizontal="center" vertical="center"/>
    </xf>
    <xf numFmtId="0" fontId="10" fillId="11" borderId="0" xfId="0" applyFont="1" applyFill="1" applyAlignment="1">
      <alignment horizontal="center" vertical="center"/>
    </xf>
    <xf numFmtId="0" fontId="9" fillId="12" borderId="0" xfId="0" applyFont="1" applyFill="1" applyAlignment="1">
      <alignment horizontal="center" vertical="center"/>
    </xf>
    <xf numFmtId="0" fontId="10" fillId="0" borderId="0" xfId="0" applyFont="1" applyAlignment="1">
      <alignment horizontal="center" vertical="center"/>
    </xf>
    <xf numFmtId="0" fontId="13" fillId="0" borderId="20" xfId="0" applyFont="1" applyBorder="1" applyAlignment="1">
      <alignment horizontal="center" vertical="center" wrapText="1"/>
    </xf>
    <xf numFmtId="0" fontId="14" fillId="0" borderId="0" xfId="0" applyFont="1" applyAlignment="1">
      <alignment horizontal="center" vertical="center" wrapText="1"/>
    </xf>
    <xf numFmtId="164" fontId="0" fillId="0" borderId="0" xfId="0" applyNumberFormat="1" applyAlignment="1">
      <alignment horizontal="center" vertical="center"/>
    </xf>
    <xf numFmtId="10" fontId="0" fillId="0" borderId="0" xfId="1" applyNumberFormat="1" applyFont="1" applyAlignment="1">
      <alignment horizontal="center" vertical="center"/>
    </xf>
    <xf numFmtId="0" fontId="1" fillId="14" borderId="0" xfId="0" applyFont="1" applyFill="1" applyAlignment="1">
      <alignment horizontal="center"/>
    </xf>
    <xf numFmtId="166" fontId="1" fillId="7" borderId="0" xfId="0" applyNumberFormat="1" applyFont="1" applyFill="1" applyAlignment="1" applyProtection="1">
      <alignment horizontal="center" vertical="center"/>
      <protection locked="0"/>
    </xf>
    <xf numFmtId="0" fontId="0" fillId="0" borderId="29"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0" fontId="0" fillId="0" borderId="29" xfId="0" applyBorder="1" applyAlignment="1" applyProtection="1">
      <alignment horizontal="center" vertical="center"/>
      <protection hidden="1"/>
    </xf>
    <xf numFmtId="0" fontId="0" fillId="0" borderId="30" xfId="0" applyBorder="1" applyAlignment="1" applyProtection="1">
      <alignment horizontal="center" vertical="center"/>
      <protection hidden="1"/>
    </xf>
    <xf numFmtId="0" fontId="1" fillId="14" borderId="20" xfId="0" applyFont="1" applyFill="1" applyBorder="1" applyAlignment="1">
      <alignment horizontal="center" vertical="center"/>
    </xf>
    <xf numFmtId="0" fontId="6" fillId="0" borderId="20" xfId="0" applyFont="1" applyBorder="1" applyAlignment="1" applyProtection="1">
      <alignment horizontal="center" vertical="center"/>
      <protection hidden="1"/>
    </xf>
    <xf numFmtId="0" fontId="0" fillId="0" borderId="32" xfId="0" applyBorder="1" applyAlignment="1" applyProtection="1">
      <alignment horizontal="center" vertical="center"/>
      <protection hidden="1"/>
    </xf>
    <xf numFmtId="0" fontId="0" fillId="0" borderId="33" xfId="0" applyBorder="1" applyAlignment="1" applyProtection="1">
      <alignment horizontal="center" vertical="center"/>
      <protection hidden="1"/>
    </xf>
    <xf numFmtId="0" fontId="0" fillId="0" borderId="34" xfId="0" applyBorder="1" applyAlignment="1" applyProtection="1">
      <alignment horizontal="center" vertical="center"/>
      <protection hidden="1"/>
    </xf>
    <xf numFmtId="0" fontId="1" fillId="14" borderId="21" xfId="0" applyFont="1" applyFill="1" applyBorder="1" applyAlignment="1">
      <alignment horizontal="center" vertical="center"/>
    </xf>
    <xf numFmtId="0" fontId="1" fillId="14" borderId="24" xfId="0" applyFont="1" applyFill="1" applyBorder="1" applyAlignment="1">
      <alignment horizontal="center" vertical="center"/>
    </xf>
    <xf numFmtId="0" fontId="1" fillId="14" borderId="20" xfId="0" applyFont="1" applyFill="1" applyBorder="1" applyAlignment="1">
      <alignment horizontal="center" vertical="center" wrapText="1"/>
    </xf>
    <xf numFmtId="0" fontId="6" fillId="0" borderId="2" xfId="0" applyFont="1" applyBorder="1" applyAlignment="1" applyProtection="1">
      <alignment horizontal="center" vertical="center"/>
      <protection hidden="1"/>
    </xf>
    <xf numFmtId="0" fontId="6" fillId="0" borderId="1" xfId="0" applyFont="1" applyBorder="1" applyAlignment="1" applyProtection="1">
      <alignment horizontal="center" vertical="center"/>
      <protection hidden="1"/>
    </xf>
    <xf numFmtId="0" fontId="6" fillId="0" borderId="3" xfId="0" applyFont="1" applyBorder="1" applyAlignment="1" applyProtection="1">
      <alignment horizontal="center" vertical="center"/>
      <protection hidden="1"/>
    </xf>
    <xf numFmtId="0" fontId="0" fillId="0" borderId="25" xfId="0" applyBorder="1" applyAlignment="1" applyProtection="1">
      <alignment horizontal="center" vertical="center"/>
      <protection hidden="1"/>
    </xf>
    <xf numFmtId="166" fontId="0" fillId="0" borderId="0" xfId="0" applyNumberFormat="1"/>
    <xf numFmtId="0" fontId="6" fillId="0" borderId="25" xfId="0" applyFont="1" applyBorder="1" applyAlignment="1" applyProtection="1">
      <alignment horizontal="center" vertical="center"/>
      <protection hidden="1"/>
    </xf>
    <xf numFmtId="0" fontId="6" fillId="3" borderId="20" xfId="0" applyFont="1" applyFill="1" applyBorder="1" applyAlignment="1" applyProtection="1">
      <alignment horizontal="center" vertical="center"/>
      <protection hidden="1"/>
    </xf>
    <xf numFmtId="0" fontId="0" fillId="3" borderId="20" xfId="0" applyFill="1" applyBorder="1" applyAlignment="1">
      <alignment horizontal="center" vertical="center"/>
    </xf>
    <xf numFmtId="0" fontId="0" fillId="0" borderId="20" xfId="0" applyBorder="1" applyAlignment="1" applyProtection="1">
      <alignment horizontal="center" vertical="center"/>
      <protection hidden="1"/>
    </xf>
    <xf numFmtId="0" fontId="0" fillId="0" borderId="32"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34" xfId="0" applyBorder="1" applyAlignment="1" applyProtection="1">
      <alignment horizontal="center" vertical="center"/>
      <protection locked="0"/>
    </xf>
    <xf numFmtId="0" fontId="1" fillId="14" borderId="23" xfId="0" applyFont="1" applyFill="1" applyBorder="1" applyAlignment="1" applyProtection="1">
      <alignment horizontal="center" vertical="center" wrapText="1"/>
      <protection hidden="1"/>
    </xf>
    <xf numFmtId="14" fontId="1" fillId="14" borderId="20" xfId="0" applyNumberFormat="1" applyFont="1" applyFill="1" applyBorder="1" applyAlignment="1" applyProtection="1">
      <alignment horizontal="center" vertical="center"/>
      <protection hidden="1"/>
    </xf>
    <xf numFmtId="0" fontId="1" fillId="14" borderId="24" xfId="0" applyFont="1" applyFill="1" applyBorder="1" applyAlignment="1" applyProtection="1">
      <alignment horizontal="center" vertical="center"/>
      <protection hidden="1"/>
    </xf>
    <xf numFmtId="0" fontId="15" fillId="0" borderId="5" xfId="0" applyFont="1" applyBorder="1" applyAlignment="1" applyProtection="1">
      <alignment horizontal="center" vertical="center"/>
      <protection locked="0"/>
    </xf>
    <xf numFmtId="164" fontId="15" fillId="0" borderId="5" xfId="0" applyNumberFormat="1" applyFont="1" applyBorder="1" applyAlignment="1" applyProtection="1">
      <alignment horizontal="center" vertical="center"/>
      <protection locked="0"/>
    </xf>
    <xf numFmtId="19" fontId="15" fillId="0" borderId="5" xfId="0" applyNumberFormat="1" applyFont="1" applyBorder="1" applyAlignment="1" applyProtection="1">
      <alignment horizontal="center" vertical="center"/>
      <protection locked="0"/>
    </xf>
    <xf numFmtId="0" fontId="15" fillId="0" borderId="5" xfId="0" applyFont="1" applyBorder="1" applyAlignment="1" applyProtection="1">
      <alignment horizontal="center" vertical="center"/>
      <protection hidden="1"/>
    </xf>
    <xf numFmtId="0" fontId="16" fillId="0" borderId="5" xfId="0" applyFont="1" applyBorder="1" applyAlignment="1" applyProtection="1">
      <alignment horizontal="center" vertical="center"/>
      <protection hidden="1"/>
    </xf>
    <xf numFmtId="14" fontId="15" fillId="0" borderId="5" xfId="0" applyNumberFormat="1" applyFont="1" applyBorder="1" applyAlignment="1" applyProtection="1">
      <alignment horizontal="center" vertical="center"/>
      <protection hidden="1"/>
    </xf>
    <xf numFmtId="0" fontId="17" fillId="15" borderId="5" xfId="0" applyFont="1" applyFill="1" applyBorder="1" applyAlignment="1">
      <alignment horizontal="center" vertical="center"/>
    </xf>
    <xf numFmtId="0" fontId="7" fillId="16" borderId="19" xfId="0" applyFont="1" applyFill="1" applyBorder="1" applyAlignment="1">
      <alignment horizontal="center" vertical="center" wrapText="1"/>
    </xf>
    <xf numFmtId="0" fontId="7" fillId="16" borderId="19" xfId="0" applyFont="1" applyFill="1" applyBorder="1" applyAlignment="1" applyProtection="1">
      <alignment horizontal="center" vertical="center" wrapText="1"/>
      <protection hidden="1"/>
    </xf>
    <xf numFmtId="0" fontId="8" fillId="5" borderId="15" xfId="0" applyFont="1" applyFill="1" applyBorder="1" applyAlignment="1" applyProtection="1">
      <alignment horizontal="center" vertical="center" wrapText="1"/>
      <protection locked="0"/>
    </xf>
    <xf numFmtId="0" fontId="8" fillId="5" borderId="16" xfId="0" applyFont="1" applyFill="1" applyBorder="1" applyAlignment="1" applyProtection="1">
      <alignment horizontal="center" vertical="center" wrapText="1"/>
      <protection locked="0"/>
    </xf>
    <xf numFmtId="0" fontId="8" fillId="5" borderId="17" xfId="0" applyFont="1" applyFill="1" applyBorder="1" applyAlignment="1" applyProtection="1">
      <alignment horizontal="center" vertical="center" wrapText="1"/>
      <protection locked="0"/>
    </xf>
    <xf numFmtId="0" fontId="8" fillId="0" borderId="6" xfId="0" applyFont="1" applyBorder="1" applyAlignment="1">
      <alignment horizontal="center" vertical="center"/>
    </xf>
    <xf numFmtId="0" fontId="9" fillId="8" borderId="0" xfId="0" applyFont="1" applyFill="1" applyAlignment="1">
      <alignment horizontal="center" vertical="center"/>
    </xf>
    <xf numFmtId="0" fontId="10" fillId="8" borderId="35" xfId="0" applyFont="1" applyFill="1" applyBorder="1" applyAlignment="1">
      <alignment horizontal="center" vertical="center"/>
    </xf>
    <xf numFmtId="0" fontId="9" fillId="9" borderId="0" xfId="0" applyFont="1" applyFill="1" applyAlignment="1">
      <alignment horizontal="center" vertical="center"/>
    </xf>
    <xf numFmtId="0" fontId="10" fillId="9" borderId="36" xfId="0" applyFont="1" applyFill="1" applyBorder="1" applyAlignment="1">
      <alignment horizontal="center" vertical="center"/>
    </xf>
    <xf numFmtId="0" fontId="10" fillId="10" borderId="36" xfId="0" applyFont="1" applyFill="1" applyBorder="1" applyAlignment="1">
      <alignment horizontal="center" vertical="center"/>
    </xf>
    <xf numFmtId="0" fontId="11" fillId="18" borderId="37" xfId="0" applyFont="1" applyFill="1" applyBorder="1" applyAlignment="1">
      <alignment horizontal="center" vertical="center"/>
    </xf>
    <xf numFmtId="0" fontId="11" fillId="13" borderId="37" xfId="0" applyFont="1" applyFill="1" applyBorder="1" applyAlignment="1">
      <alignment horizontal="center" vertical="center"/>
    </xf>
    <xf numFmtId="0" fontId="7" fillId="17" borderId="5" xfId="0" applyFont="1" applyFill="1" applyBorder="1" applyAlignment="1" applyProtection="1">
      <alignment horizontal="center" vertical="center" wrapText="1"/>
      <protection locked="0"/>
    </xf>
    <xf numFmtId="165" fontId="0" fillId="0" borderId="0" xfId="0" applyNumberFormat="1"/>
    <xf numFmtId="0" fontId="12" fillId="2" borderId="0" xfId="0" applyFont="1" applyFill="1" applyAlignment="1">
      <alignment horizontal="left" vertical="center"/>
    </xf>
    <xf numFmtId="0" fontId="7" fillId="0" borderId="0" xfId="0" applyFont="1" applyAlignment="1" applyProtection="1">
      <alignment horizontal="right"/>
      <protection hidden="1"/>
    </xf>
    <xf numFmtId="0" fontId="17" fillId="15" borderId="5" xfId="0" applyFont="1" applyFill="1" applyBorder="1" applyAlignment="1" applyProtection="1">
      <alignment horizontal="center" vertical="center"/>
      <protection hidden="1"/>
    </xf>
    <xf numFmtId="0" fontId="8" fillId="0" borderId="13" xfId="0" applyFont="1" applyBorder="1" applyAlignment="1" applyProtection="1">
      <alignment horizontal="center" vertical="center" wrapText="1"/>
      <protection hidden="1"/>
    </xf>
    <xf numFmtId="0" fontId="8" fillId="0" borderId="12"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wrapText="1"/>
      <protection hidden="1"/>
    </xf>
    <xf numFmtId="19" fontId="7" fillId="17" borderId="5" xfId="0" applyNumberFormat="1" applyFont="1" applyFill="1" applyBorder="1" applyAlignment="1" applyProtection="1">
      <alignment horizontal="center" vertical="center" wrapText="1"/>
      <protection hidden="1"/>
    </xf>
    <xf numFmtId="164" fontId="4" fillId="0" borderId="7" xfId="0" applyNumberFormat="1" applyFont="1" applyBorder="1" applyAlignment="1" applyProtection="1">
      <alignment horizontal="center" vertical="center"/>
      <protection hidden="1"/>
    </xf>
    <xf numFmtId="0" fontId="8" fillId="0" borderId="18" xfId="0" applyFont="1" applyBorder="1" applyAlignment="1" applyProtection="1">
      <alignment horizontal="center" vertical="center" wrapText="1"/>
      <protection hidden="1"/>
    </xf>
    <xf numFmtId="0" fontId="7" fillId="16" borderId="5" xfId="0" applyFont="1" applyFill="1" applyBorder="1" applyAlignment="1">
      <alignment horizontal="center" vertical="center" wrapText="1"/>
    </xf>
    <xf numFmtId="164" fontId="4" fillId="0" borderId="10" xfId="0" applyNumberFormat="1" applyFont="1" applyBorder="1" applyAlignment="1" applyProtection="1">
      <alignment horizontal="center" vertical="center"/>
      <protection hidden="1"/>
    </xf>
    <xf numFmtId="164" fontId="4" fillId="0" borderId="8" xfId="0" applyNumberFormat="1" applyFont="1" applyBorder="1" applyAlignment="1" applyProtection="1">
      <alignment horizontal="center" vertical="center"/>
      <protection locked="0"/>
    </xf>
    <xf numFmtId="164" fontId="4" fillId="0" borderId="11" xfId="0" applyNumberFormat="1" applyFont="1" applyBorder="1" applyAlignment="1" applyProtection="1">
      <alignment horizontal="center" vertical="center"/>
      <protection locked="0"/>
    </xf>
    <xf numFmtId="0" fontId="8" fillId="0" borderId="42" xfId="0" applyFont="1" applyBorder="1" applyAlignment="1">
      <alignment horizontal="center" vertical="center"/>
    </xf>
    <xf numFmtId="0" fontId="8" fillId="0" borderId="44" xfId="0" applyFont="1" applyBorder="1" applyAlignment="1" applyProtection="1">
      <alignment horizontal="center" vertical="center"/>
      <protection hidden="1"/>
    </xf>
    <xf numFmtId="0" fontId="8" fillId="0" borderId="45" xfId="0" applyFont="1" applyBorder="1" applyAlignment="1" applyProtection="1">
      <alignment horizontal="center" vertical="center"/>
      <protection hidden="1"/>
    </xf>
    <xf numFmtId="164" fontId="8" fillId="0" borderId="46" xfId="0" applyNumberFormat="1" applyFont="1" applyBorder="1" applyAlignment="1" applyProtection="1">
      <alignment horizontal="center" vertical="center"/>
      <protection hidden="1"/>
    </xf>
    <xf numFmtId="164" fontId="8" fillId="0" borderId="47" xfId="0" applyNumberFormat="1" applyFont="1" applyBorder="1" applyAlignment="1" applyProtection="1">
      <alignment horizontal="center" vertical="center"/>
      <protection hidden="1"/>
    </xf>
    <xf numFmtId="0" fontId="7" fillId="21" borderId="43" xfId="0" applyFont="1" applyFill="1" applyBorder="1" applyAlignment="1">
      <alignment horizontal="center" vertical="center"/>
    </xf>
    <xf numFmtId="0" fontId="8" fillId="21" borderId="19" xfId="0" applyFont="1" applyFill="1" applyBorder="1" applyAlignment="1" applyProtection="1">
      <alignment horizontal="center" vertical="center"/>
      <protection hidden="1"/>
    </xf>
    <xf numFmtId="164" fontId="8" fillId="21" borderId="5" xfId="0" applyNumberFormat="1" applyFont="1" applyFill="1" applyBorder="1" applyAlignment="1" applyProtection="1">
      <alignment horizontal="center" vertical="center"/>
      <protection hidden="1"/>
    </xf>
    <xf numFmtId="0" fontId="13" fillId="0" borderId="21" xfId="0" applyFont="1" applyBorder="1" applyAlignment="1">
      <alignment horizontal="center" vertical="center" wrapText="1"/>
    </xf>
    <xf numFmtId="0" fontId="11" fillId="12" borderId="0" xfId="0" applyFont="1" applyFill="1" applyAlignment="1">
      <alignment horizontal="center" vertical="center"/>
    </xf>
    <xf numFmtId="0" fontId="12" fillId="12" borderId="0" xfId="0" applyFont="1" applyFill="1" applyAlignment="1">
      <alignment horizontal="center" vertical="center"/>
    </xf>
    <xf numFmtId="0" fontId="11" fillId="12" borderId="48" xfId="0" applyFont="1" applyFill="1" applyBorder="1" applyAlignment="1">
      <alignment horizontal="center" vertical="center"/>
    </xf>
    <xf numFmtId="0" fontId="11" fillId="18" borderId="48" xfId="0" applyFont="1" applyFill="1" applyBorder="1" applyAlignment="1">
      <alignment horizontal="center" vertical="center"/>
    </xf>
    <xf numFmtId="0" fontId="11" fillId="18" borderId="0" xfId="0" applyFont="1" applyFill="1" applyAlignment="1">
      <alignment horizontal="center" vertical="center"/>
    </xf>
    <xf numFmtId="0" fontId="11" fillId="19" borderId="38" xfId="0" applyFont="1" applyFill="1" applyBorder="1" applyAlignment="1">
      <alignment horizontal="center" vertical="center"/>
    </xf>
    <xf numFmtId="0" fontId="12" fillId="19" borderId="37" xfId="0" applyFont="1" applyFill="1" applyBorder="1" applyAlignment="1">
      <alignment horizontal="center" vertical="center"/>
    </xf>
    <xf numFmtId="0" fontId="12" fillId="13" borderId="39" xfId="0" applyFont="1" applyFill="1" applyBorder="1" applyAlignment="1">
      <alignment horizontal="center" vertical="center"/>
    </xf>
    <xf numFmtId="0" fontId="11" fillId="13" borderId="36" xfId="0" applyFont="1" applyFill="1" applyBorder="1" applyAlignment="1">
      <alignment horizontal="center" vertical="center"/>
    </xf>
    <xf numFmtId="0" fontId="18" fillId="13" borderId="37" xfId="0" applyFont="1" applyFill="1" applyBorder="1" applyAlignment="1">
      <alignment horizontal="center" vertical="center"/>
    </xf>
    <xf numFmtId="0" fontId="18" fillId="19" borderId="37" xfId="0" applyFont="1" applyFill="1" applyBorder="1" applyAlignment="1">
      <alignment horizontal="center" vertical="center"/>
    </xf>
    <xf numFmtId="164" fontId="4" fillId="0" borderId="6" xfId="0" applyNumberFormat="1" applyFont="1" applyBorder="1" applyAlignment="1" applyProtection="1">
      <alignment horizontal="center" vertical="center"/>
      <protection hidden="1"/>
    </xf>
    <xf numFmtId="0" fontId="0" fillId="0" borderId="0" xfId="0" applyAlignment="1">
      <alignment vertical="center"/>
    </xf>
    <xf numFmtId="0" fontId="9" fillId="12" borderId="48" xfId="0" applyFont="1" applyFill="1" applyBorder="1" applyAlignment="1">
      <alignment horizontal="center" vertical="center"/>
    </xf>
    <xf numFmtId="0" fontId="12" fillId="18" borderId="39" xfId="0" applyFont="1" applyFill="1" applyBorder="1" applyAlignment="1">
      <alignment horizontal="center" vertical="center"/>
    </xf>
    <xf numFmtId="0" fontId="0" fillId="19" borderId="50" xfId="0" applyFill="1" applyBorder="1" applyAlignment="1">
      <alignment horizontal="center"/>
    </xf>
    <xf numFmtId="0" fontId="0" fillId="19" borderId="51" xfId="0" applyFill="1" applyBorder="1" applyAlignment="1">
      <alignment horizontal="center" vertical="center"/>
    </xf>
    <xf numFmtId="0" fontId="0" fillId="23" borderId="52" xfId="0" applyFill="1" applyBorder="1" applyAlignment="1">
      <alignment horizontal="center"/>
    </xf>
    <xf numFmtId="0" fontId="0" fillId="23" borderId="53" xfId="0" applyFill="1" applyBorder="1" applyAlignment="1">
      <alignment horizontal="center" vertical="center"/>
    </xf>
    <xf numFmtId="0" fontId="0" fillId="19" borderId="54" xfId="0" applyFill="1" applyBorder="1" applyAlignment="1">
      <alignment horizontal="center"/>
    </xf>
    <xf numFmtId="0" fontId="0" fillId="19" borderId="55" xfId="0" applyFill="1" applyBorder="1" applyAlignment="1">
      <alignment horizontal="center" vertical="center"/>
    </xf>
    <xf numFmtId="0" fontId="0" fillId="23" borderId="54" xfId="0" applyFill="1" applyBorder="1" applyAlignment="1">
      <alignment horizontal="center"/>
    </xf>
    <xf numFmtId="0" fontId="0" fillId="23" borderId="55" xfId="0" applyFill="1" applyBorder="1" applyAlignment="1">
      <alignment horizontal="center" vertical="center"/>
    </xf>
    <xf numFmtId="0" fontId="0" fillId="0" borderId="40" xfId="0" applyBorder="1" applyAlignment="1">
      <alignment horizontal="center"/>
    </xf>
    <xf numFmtId="0" fontId="0" fillId="0" borderId="20" xfId="0" applyBorder="1" applyAlignment="1">
      <alignment horizontal="center"/>
    </xf>
    <xf numFmtId="0" fontId="0" fillId="9" borderId="20" xfId="0" applyFill="1" applyBorder="1" applyAlignment="1">
      <alignment horizontal="center"/>
    </xf>
    <xf numFmtId="9" fontId="0" fillId="24" borderId="56" xfId="1" applyFont="1" applyFill="1" applyBorder="1" applyAlignment="1">
      <alignment horizontal="center"/>
    </xf>
    <xf numFmtId="9" fontId="0" fillId="24" borderId="1" xfId="1" applyFont="1" applyFill="1" applyBorder="1" applyAlignment="1">
      <alignment horizontal="center"/>
    </xf>
    <xf numFmtId="0" fontId="0" fillId="22" borderId="24" xfId="0" applyFill="1" applyBorder="1" applyAlignment="1">
      <alignment horizontal="center"/>
    </xf>
    <xf numFmtId="0" fontId="0" fillId="25" borderId="20" xfId="0" applyFill="1" applyBorder="1" applyAlignment="1">
      <alignment horizontal="center"/>
    </xf>
    <xf numFmtId="0" fontId="0" fillId="12" borderId="20" xfId="0" applyFill="1" applyBorder="1" applyAlignment="1">
      <alignment horizontal="center"/>
    </xf>
    <xf numFmtId="0" fontId="7" fillId="17" borderId="41" xfId="0" applyFont="1" applyFill="1" applyBorder="1" applyAlignment="1" applyProtection="1">
      <alignment horizontal="center" vertical="center" wrapText="1"/>
      <protection hidden="1"/>
    </xf>
    <xf numFmtId="0" fontId="0" fillId="0" borderId="0" xfId="0" applyProtection="1">
      <protection hidden="1"/>
    </xf>
    <xf numFmtId="0" fontId="0" fillId="0" borderId="0" xfId="0" applyAlignment="1" applyProtection="1">
      <alignment vertical="center"/>
      <protection hidden="1"/>
    </xf>
    <xf numFmtId="19" fontId="0" fillId="0" borderId="0" xfId="0" applyNumberFormat="1" applyProtection="1">
      <protection hidden="1"/>
    </xf>
    <xf numFmtId="164" fontId="4" fillId="0" borderId="9" xfId="0" applyNumberFormat="1" applyFont="1" applyBorder="1" applyAlignment="1" applyProtection="1">
      <alignment horizontal="center" vertical="center"/>
      <protection hidden="1"/>
    </xf>
    <xf numFmtId="0" fontId="1" fillId="11" borderId="5" xfId="0" applyFont="1" applyFill="1" applyBorder="1" applyAlignment="1" applyProtection="1">
      <alignment horizontal="center" vertical="center"/>
      <protection locked="0"/>
    </xf>
    <xf numFmtId="0" fontId="7" fillId="11" borderId="0" xfId="0" applyFont="1" applyFill="1" applyAlignment="1" applyProtection="1">
      <alignment horizontal="right"/>
      <protection hidden="1"/>
    </xf>
    <xf numFmtId="0" fontId="0" fillId="0" borderId="56" xfId="0" applyBorder="1" applyAlignment="1">
      <alignment horizontal="center" vertical="center"/>
    </xf>
    <xf numFmtId="0" fontId="1" fillId="26" borderId="0" xfId="0" applyFont="1" applyFill="1" applyAlignment="1">
      <alignment horizontal="center"/>
    </xf>
    <xf numFmtId="19" fontId="1" fillId="26" borderId="0" xfId="0" applyNumberFormat="1" applyFont="1" applyFill="1" applyAlignment="1">
      <alignment horizontal="center"/>
    </xf>
    <xf numFmtId="14" fontId="0" fillId="0" borderId="20" xfId="0" applyNumberFormat="1" applyBorder="1" applyAlignment="1">
      <alignment horizontal="center"/>
    </xf>
    <xf numFmtId="19" fontId="7" fillId="0" borderId="0" xfId="0" applyNumberFormat="1" applyFont="1" applyAlignment="1" applyProtection="1">
      <alignment vertical="center" wrapText="1"/>
      <protection hidden="1"/>
    </xf>
    <xf numFmtId="0" fontId="7" fillId="0" borderId="41" xfId="0" applyFont="1" applyBorder="1" applyAlignment="1" applyProtection="1">
      <alignment horizontal="center" vertical="center" wrapText="1"/>
      <protection locked="0"/>
    </xf>
    <xf numFmtId="19" fontId="7" fillId="0" borderId="49" xfId="0" applyNumberFormat="1" applyFont="1" applyBorder="1" applyAlignment="1" applyProtection="1">
      <alignment horizontal="center" vertical="center" wrapText="1"/>
      <protection locked="0"/>
    </xf>
    <xf numFmtId="19" fontId="7" fillId="0" borderId="5" xfId="0" applyNumberFormat="1" applyFont="1" applyBorder="1" applyAlignment="1" applyProtection="1">
      <alignment horizontal="center" vertical="center" wrapText="1"/>
      <protection locked="0"/>
    </xf>
    <xf numFmtId="0" fontId="7" fillId="0" borderId="5" xfId="0" applyFont="1" applyBorder="1" applyAlignment="1" applyProtection="1">
      <alignment horizontal="center" vertical="center" wrapText="1"/>
      <protection locked="0"/>
    </xf>
    <xf numFmtId="9" fontId="0" fillId="24" borderId="66" xfId="0" applyNumberFormat="1" applyFill="1" applyBorder="1" applyAlignment="1">
      <alignment horizontal="center"/>
    </xf>
    <xf numFmtId="0" fontId="1" fillId="27" borderId="21" xfId="0" applyFont="1" applyFill="1" applyBorder="1" applyAlignment="1">
      <alignment horizontal="center"/>
    </xf>
    <xf numFmtId="0" fontId="7" fillId="16" borderId="60" xfId="0" applyFont="1" applyFill="1" applyBorder="1" applyAlignment="1" applyProtection="1">
      <alignment horizontal="center" vertical="center" wrapText="1"/>
      <protection hidden="1"/>
    </xf>
    <xf numFmtId="0" fontId="20" fillId="0" borderId="4" xfId="0" applyFont="1" applyBorder="1" applyAlignment="1">
      <alignment horizontal="left" vertical="center" wrapText="1"/>
    </xf>
    <xf numFmtId="0" fontId="20" fillId="0" borderId="68" xfId="0" applyFont="1" applyBorder="1" applyAlignment="1">
      <alignment horizontal="left" vertical="center" wrapText="1"/>
    </xf>
    <xf numFmtId="14" fontId="1" fillId="4" borderId="20" xfId="0" applyNumberFormat="1" applyFont="1" applyFill="1" applyBorder="1" applyAlignment="1">
      <alignment horizontal="center"/>
    </xf>
    <xf numFmtId="14" fontId="0" fillId="0" borderId="22" xfId="0" applyNumberFormat="1" applyBorder="1"/>
    <xf numFmtId="0" fontId="0" fillId="23" borderId="77" xfId="0" applyFill="1" applyBorder="1" applyAlignment="1">
      <alignment horizontal="center"/>
    </xf>
    <xf numFmtId="0" fontId="0" fillId="23" borderId="78" xfId="0" applyFill="1" applyBorder="1" applyAlignment="1">
      <alignment horizontal="center" vertical="center"/>
    </xf>
    <xf numFmtId="0" fontId="6" fillId="6" borderId="20" xfId="0" applyFont="1" applyFill="1" applyBorder="1" applyAlignment="1">
      <alignment horizontal="center" vertical="center"/>
    </xf>
    <xf numFmtId="0" fontId="0" fillId="6" borderId="56" xfId="0" applyFill="1" applyBorder="1" applyAlignment="1" applyProtection="1">
      <alignment horizontal="center" vertical="center"/>
      <protection locked="0"/>
    </xf>
    <xf numFmtId="0" fontId="0" fillId="6" borderId="1" xfId="0" applyFill="1" applyBorder="1" applyAlignment="1" applyProtection="1">
      <alignment horizontal="center" vertical="center"/>
      <protection locked="0"/>
    </xf>
    <xf numFmtId="0" fontId="0" fillId="6" borderId="3" xfId="0" applyFill="1" applyBorder="1" applyAlignment="1" applyProtection="1">
      <alignment horizontal="center" vertical="center"/>
      <protection locked="0"/>
    </xf>
    <xf numFmtId="164" fontId="0" fillId="0" borderId="20" xfId="0" applyNumberFormat="1" applyBorder="1" applyAlignment="1">
      <alignment horizontal="center" vertical="center"/>
    </xf>
    <xf numFmtId="0" fontId="0" fillId="0" borderId="4" xfId="0" applyBorder="1"/>
    <xf numFmtId="0" fontId="0" fillId="0" borderId="26" xfId="0" applyBorder="1"/>
    <xf numFmtId="0" fontId="6" fillId="4" borderId="20" xfId="0" applyFont="1" applyFill="1" applyBorder="1"/>
    <xf numFmtId="0" fontId="6" fillId="8" borderId="20" xfId="0" applyFont="1" applyFill="1" applyBorder="1"/>
    <xf numFmtId="49" fontId="15" fillId="0" borderId="5" xfId="0" applyNumberFormat="1" applyFont="1" applyBorder="1" applyAlignment="1" applyProtection="1">
      <alignment horizontal="center" vertical="center"/>
      <protection locked="0"/>
    </xf>
    <xf numFmtId="0" fontId="17" fillId="15" borderId="19" xfId="0" applyFont="1" applyFill="1" applyBorder="1" applyAlignment="1" applyProtection="1">
      <alignment horizontal="center" vertical="center"/>
      <protection hidden="1"/>
    </xf>
    <xf numFmtId="0" fontId="0" fillId="0" borderId="26" xfId="0" applyBorder="1" applyAlignment="1">
      <alignment wrapText="1"/>
    </xf>
    <xf numFmtId="0" fontId="6" fillId="28" borderId="20" xfId="0" applyFont="1" applyFill="1" applyBorder="1"/>
    <xf numFmtId="0" fontId="6" fillId="11" borderId="20" xfId="0" applyFont="1" applyFill="1" applyBorder="1"/>
    <xf numFmtId="0" fontId="6" fillId="19" borderId="20" xfId="0" applyFont="1" applyFill="1" applyBorder="1"/>
    <xf numFmtId="0" fontId="6" fillId="23" borderId="20" xfId="0" applyFont="1" applyFill="1" applyBorder="1"/>
    <xf numFmtId="0" fontId="0" fillId="0" borderId="68" xfId="0" applyBorder="1"/>
    <xf numFmtId="0" fontId="8" fillId="0" borderId="79" xfId="0" applyFont="1" applyBorder="1" applyAlignment="1" applyProtection="1">
      <alignment horizontal="center" vertical="center"/>
      <protection hidden="1"/>
    </xf>
    <xf numFmtId="0" fontId="11" fillId="18" borderId="40" xfId="0" applyFont="1" applyFill="1" applyBorder="1" applyAlignment="1">
      <alignment horizontal="center" vertical="center"/>
    </xf>
    <xf numFmtId="0" fontId="10" fillId="10" borderId="40" xfId="0" applyFont="1" applyFill="1" applyBorder="1" applyAlignment="1">
      <alignment horizontal="center" vertical="center"/>
    </xf>
    <xf numFmtId="0" fontId="0" fillId="8" borderId="0" xfId="0" applyFill="1" applyAlignment="1">
      <alignment horizontal="center" vertical="center"/>
    </xf>
    <xf numFmtId="0" fontId="0" fillId="0" borderId="26" xfId="0" applyBorder="1" applyAlignment="1">
      <alignment horizontal="center" vertical="center"/>
    </xf>
    <xf numFmtId="0" fontId="0" fillId="0" borderId="28" xfId="0" applyBorder="1" applyAlignment="1">
      <alignment horizontal="center" vertical="center"/>
    </xf>
    <xf numFmtId="0" fontId="0" fillId="0" borderId="27" xfId="0"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vertical="center" wrapText="1"/>
    </xf>
    <xf numFmtId="49" fontId="0" fillId="0" borderId="0" xfId="0" applyNumberFormat="1" applyAlignment="1">
      <alignment horizontal="center" vertical="center"/>
    </xf>
    <xf numFmtId="0" fontId="10" fillId="10" borderId="81" xfId="0" applyFont="1" applyFill="1" applyBorder="1" applyAlignment="1">
      <alignment horizontal="center" vertical="center"/>
    </xf>
    <xf numFmtId="0" fontId="7" fillId="0" borderId="0" xfId="0" applyFont="1" applyAlignment="1" applyProtection="1">
      <alignment horizontal="right" vertical="center"/>
      <protection hidden="1"/>
    </xf>
    <xf numFmtId="22" fontId="0" fillId="0" borderId="0" xfId="0" applyNumberFormat="1" applyAlignment="1">
      <alignment horizontal="center" vertical="center"/>
    </xf>
    <xf numFmtId="0" fontId="8" fillId="0" borderId="83" xfId="0" applyFont="1" applyBorder="1" applyAlignment="1" applyProtection="1">
      <alignment horizontal="center" vertical="center" wrapText="1"/>
      <protection hidden="1"/>
    </xf>
    <xf numFmtId="0" fontId="8" fillId="0" borderId="82" xfId="0" applyFont="1" applyBorder="1" applyAlignment="1" applyProtection="1">
      <alignment horizontal="center" vertical="center" wrapText="1"/>
      <protection hidden="1"/>
    </xf>
    <xf numFmtId="167" fontId="0" fillId="0" borderId="0" xfId="0" applyNumberFormat="1" applyProtection="1">
      <protection hidden="1"/>
    </xf>
    <xf numFmtId="0" fontId="0" fillId="0" borderId="5" xfId="0" applyBorder="1" applyAlignment="1" applyProtection="1">
      <alignment wrapText="1"/>
      <protection locked="0"/>
    </xf>
    <xf numFmtId="0" fontId="0" fillId="0" borderId="84" xfId="0" applyBorder="1" applyAlignment="1">
      <alignment horizontal="center" vertical="center"/>
    </xf>
    <xf numFmtId="9" fontId="0" fillId="12" borderId="0" xfId="1" applyFont="1" applyFill="1" applyAlignment="1">
      <alignment horizontal="center" vertical="center"/>
    </xf>
    <xf numFmtId="0" fontId="22" fillId="20" borderId="4" xfId="0" applyFont="1" applyFill="1" applyBorder="1" applyAlignment="1">
      <alignment horizontal="center" vertical="center" wrapText="1"/>
    </xf>
    <xf numFmtId="0" fontId="20" fillId="0" borderId="4" xfId="0" applyFont="1" applyBorder="1" applyAlignment="1">
      <alignment horizontal="left" vertical="center"/>
    </xf>
    <xf numFmtId="0" fontId="20" fillId="0" borderId="26" xfId="0" applyFont="1" applyBorder="1" applyAlignment="1">
      <alignment horizontal="left" vertical="center" wrapText="1"/>
    </xf>
    <xf numFmtId="0" fontId="20" fillId="0" borderId="0" xfId="0" applyFont="1"/>
    <xf numFmtId="0" fontId="20" fillId="0" borderId="28" xfId="0" applyFont="1" applyBorder="1" applyAlignment="1">
      <alignment horizontal="center" vertical="center" wrapText="1"/>
    </xf>
    <xf numFmtId="19" fontId="7" fillId="21" borderId="39" xfId="0" applyNumberFormat="1" applyFont="1" applyFill="1" applyBorder="1" applyAlignment="1" applyProtection="1">
      <alignment horizontal="right" vertical="center" wrapText="1"/>
      <protection hidden="1"/>
    </xf>
    <xf numFmtId="19" fontId="7" fillId="28" borderId="21" xfId="0" applyNumberFormat="1" applyFont="1" applyFill="1" applyBorder="1" applyAlignment="1" applyProtection="1">
      <alignment horizontal="right" vertical="center" wrapText="1"/>
      <protection hidden="1"/>
    </xf>
    <xf numFmtId="19" fontId="7" fillId="23" borderId="87" xfId="0" applyNumberFormat="1" applyFont="1" applyFill="1" applyBorder="1" applyAlignment="1" applyProtection="1">
      <alignment horizontal="right" vertical="center" wrapText="1"/>
      <protection hidden="1"/>
    </xf>
    <xf numFmtId="0" fontId="10" fillId="27" borderId="81" xfId="0" applyFont="1" applyFill="1" applyBorder="1" applyAlignment="1">
      <alignment horizontal="center" vertical="center"/>
    </xf>
    <xf numFmtId="0" fontId="10" fillId="27" borderId="40" xfId="0" applyFont="1" applyFill="1" applyBorder="1" applyAlignment="1">
      <alignment horizontal="center" vertical="center"/>
    </xf>
    <xf numFmtId="0" fontId="18" fillId="27" borderId="81" xfId="0" applyFont="1" applyFill="1" applyBorder="1" applyAlignment="1">
      <alignment horizontal="center" vertical="center"/>
    </xf>
    <xf numFmtId="19" fontId="7" fillId="6" borderId="21" xfId="0" applyNumberFormat="1" applyFont="1" applyFill="1" applyBorder="1" applyAlignment="1" applyProtection="1">
      <alignment vertical="center" wrapText="1"/>
      <protection hidden="1"/>
    </xf>
    <xf numFmtId="19" fontId="7" fillId="6" borderId="20" xfId="0" applyNumberFormat="1" applyFont="1" applyFill="1" applyBorder="1" applyAlignment="1" applyProtection="1">
      <alignment horizontal="center" vertical="center" wrapText="1"/>
      <protection hidden="1"/>
    </xf>
    <xf numFmtId="19" fontId="7" fillId="0" borderId="23" xfId="0" applyNumberFormat="1" applyFont="1" applyBorder="1" applyAlignment="1" applyProtection="1">
      <alignment horizontal="center" vertical="center" wrapText="1"/>
      <protection locked="0"/>
    </xf>
    <xf numFmtId="19" fontId="7" fillId="0" borderId="20" xfId="0" applyNumberFormat="1" applyFont="1" applyBorder="1" applyAlignment="1" applyProtection="1">
      <alignment horizontal="center" vertical="center" wrapText="1"/>
      <protection locked="0"/>
    </xf>
    <xf numFmtId="19" fontId="7" fillId="0" borderId="25" xfId="0" applyNumberFormat="1" applyFont="1" applyBorder="1" applyAlignment="1" applyProtection="1">
      <alignment horizontal="center" vertical="center" wrapText="1"/>
      <protection locked="0"/>
    </xf>
    <xf numFmtId="0" fontId="21" fillId="3" borderId="67" xfId="0" applyFont="1" applyFill="1" applyBorder="1" applyAlignment="1">
      <alignment horizontal="center" vertical="center" wrapText="1"/>
    </xf>
    <xf numFmtId="0" fontId="21" fillId="3" borderId="68" xfId="0" applyFont="1" applyFill="1" applyBorder="1" applyAlignment="1">
      <alignment horizontal="center" vertical="center" wrapText="1"/>
    </xf>
    <xf numFmtId="0" fontId="21" fillId="3" borderId="26" xfId="0" applyFont="1" applyFill="1" applyBorder="1" applyAlignment="1">
      <alignment horizontal="center" vertical="center" wrapText="1"/>
    </xf>
    <xf numFmtId="0" fontId="20" fillId="0" borderId="4" xfId="0" applyFont="1" applyBorder="1" applyAlignment="1">
      <alignment horizontal="center" vertical="center" wrapText="1"/>
    </xf>
    <xf numFmtId="0" fontId="20" fillId="0" borderId="4" xfId="0" applyFont="1" applyBorder="1" applyAlignment="1">
      <alignment horizontal="center" vertical="center"/>
    </xf>
    <xf numFmtId="0" fontId="20" fillId="22" borderId="4" xfId="0" applyFont="1" applyFill="1" applyBorder="1" applyAlignment="1">
      <alignment horizontal="left" vertical="center" wrapText="1"/>
    </xf>
    <xf numFmtId="0" fontId="0" fillId="7" borderId="0" xfId="0" applyFill="1"/>
    <xf numFmtId="0" fontId="20" fillId="2" borderId="4" xfId="0" applyFont="1" applyFill="1" applyBorder="1" applyAlignment="1">
      <alignment horizontal="left" vertical="center" wrapText="1"/>
    </xf>
    <xf numFmtId="0" fontId="7" fillId="16" borderId="58" xfId="0" applyFont="1" applyFill="1" applyBorder="1" applyAlignment="1" applyProtection="1">
      <alignment horizontal="center" vertical="center" wrapText="1"/>
      <protection hidden="1"/>
    </xf>
    <xf numFmtId="0" fontId="7" fillId="16" borderId="59" xfId="0" applyFont="1" applyFill="1" applyBorder="1" applyAlignment="1" applyProtection="1">
      <alignment horizontal="center" vertical="center" wrapText="1"/>
      <protection hidden="1"/>
    </xf>
    <xf numFmtId="0" fontId="7" fillId="16" borderId="49" xfId="0" applyFont="1" applyFill="1" applyBorder="1" applyAlignment="1" applyProtection="1">
      <alignment horizontal="center" vertical="center" wrapText="1"/>
      <protection hidden="1"/>
    </xf>
    <xf numFmtId="0" fontId="0" fillId="0" borderId="58"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0" fillId="0" borderId="49" xfId="0" applyBorder="1" applyAlignment="1" applyProtection="1">
      <alignment horizontal="center" vertical="center"/>
      <protection locked="0"/>
    </xf>
    <xf numFmtId="19" fontId="4" fillId="0" borderId="62" xfId="0" applyNumberFormat="1" applyFont="1" applyBorder="1" applyAlignment="1" applyProtection="1">
      <alignment horizontal="center" vertical="center"/>
      <protection locked="0"/>
    </xf>
    <xf numFmtId="19" fontId="4" fillId="0" borderId="63" xfId="0" applyNumberFormat="1" applyFont="1" applyBorder="1" applyAlignment="1" applyProtection="1">
      <alignment horizontal="center" vertical="center"/>
      <protection locked="0"/>
    </xf>
    <xf numFmtId="19" fontId="4" fillId="0" borderId="64" xfId="0" applyNumberFormat="1" applyFont="1" applyBorder="1" applyAlignment="1" applyProtection="1">
      <alignment horizontal="center" vertical="center"/>
      <protection locked="0"/>
    </xf>
    <xf numFmtId="19" fontId="4" fillId="0" borderId="65" xfId="0" applyNumberFormat="1" applyFont="1" applyBorder="1" applyAlignment="1" applyProtection="1">
      <alignment horizontal="center" vertical="center"/>
      <protection locked="0"/>
    </xf>
    <xf numFmtId="0" fontId="0" fillId="0" borderId="80" xfId="0" applyBorder="1" applyAlignment="1" applyProtection="1">
      <alignment horizontal="center"/>
      <protection hidden="1"/>
    </xf>
    <xf numFmtId="0" fontId="17" fillId="15" borderId="19" xfId="0" applyFont="1" applyFill="1" applyBorder="1" applyAlignment="1">
      <alignment horizontal="center" vertical="center"/>
    </xf>
    <xf numFmtId="0" fontId="17" fillId="15" borderId="60" xfId="0" applyFont="1" applyFill="1" applyBorder="1" applyAlignment="1">
      <alignment horizontal="center" vertical="center"/>
    </xf>
    <xf numFmtId="19" fontId="4" fillId="0" borderId="75" xfId="0" applyNumberFormat="1" applyFont="1" applyBorder="1" applyAlignment="1" applyProtection="1">
      <alignment horizontal="center" vertical="center"/>
      <protection locked="0"/>
    </xf>
    <xf numFmtId="19" fontId="4" fillId="0" borderId="76" xfId="0" applyNumberFormat="1" applyFont="1" applyBorder="1" applyAlignment="1" applyProtection="1">
      <alignment horizontal="center" vertical="center"/>
      <protection locked="0"/>
    </xf>
    <xf numFmtId="19" fontId="4" fillId="0" borderId="73" xfId="0" applyNumberFormat="1" applyFont="1" applyBorder="1" applyAlignment="1" applyProtection="1">
      <alignment horizontal="center" vertical="center"/>
      <protection locked="0"/>
    </xf>
    <xf numFmtId="19" fontId="4" fillId="0" borderId="74" xfId="0" applyNumberFormat="1" applyFont="1" applyBorder="1" applyAlignment="1" applyProtection="1">
      <alignment horizontal="center" vertical="center"/>
      <protection locked="0"/>
    </xf>
    <xf numFmtId="0" fontId="7" fillId="17" borderId="19" xfId="0" applyFont="1" applyFill="1" applyBorder="1" applyAlignment="1" applyProtection="1">
      <alignment horizontal="center" vertical="center" wrapText="1"/>
      <protection hidden="1"/>
    </xf>
    <xf numFmtId="0" fontId="7" fillId="17" borderId="60" xfId="0" applyFont="1" applyFill="1" applyBorder="1" applyAlignment="1" applyProtection="1">
      <alignment horizontal="center" vertical="center" wrapText="1"/>
      <protection hidden="1"/>
    </xf>
    <xf numFmtId="0" fontId="7" fillId="17" borderId="19" xfId="0" applyFont="1" applyFill="1" applyBorder="1" applyAlignment="1" applyProtection="1">
      <alignment horizontal="center" vertical="center" wrapText="1"/>
      <protection locked="0"/>
    </xf>
    <xf numFmtId="0" fontId="7" fillId="17" borderId="60" xfId="0" applyFont="1" applyFill="1" applyBorder="1" applyAlignment="1" applyProtection="1">
      <alignment horizontal="center" vertical="center" wrapText="1"/>
      <protection locked="0"/>
    </xf>
    <xf numFmtId="0" fontId="7" fillId="16" borderId="19" xfId="0" applyFont="1" applyFill="1" applyBorder="1" applyAlignment="1" applyProtection="1">
      <alignment horizontal="center" vertical="center" wrapText="1"/>
      <protection hidden="1"/>
    </xf>
    <xf numFmtId="0" fontId="7" fillId="16" borderId="61" xfId="0" applyFont="1" applyFill="1" applyBorder="1" applyAlignment="1" applyProtection="1">
      <alignment horizontal="center" vertical="center" wrapText="1"/>
      <protection hidden="1"/>
    </xf>
    <xf numFmtId="0" fontId="7" fillId="16" borderId="60" xfId="0" applyFont="1" applyFill="1" applyBorder="1" applyAlignment="1" applyProtection="1">
      <alignment horizontal="center" vertical="center" wrapText="1"/>
      <protection hidden="1"/>
    </xf>
    <xf numFmtId="0" fontId="7" fillId="17" borderId="5" xfId="0" applyFont="1" applyFill="1" applyBorder="1" applyAlignment="1" applyProtection="1">
      <alignment horizontal="center" vertical="center" wrapText="1"/>
      <protection locked="0"/>
    </xf>
    <xf numFmtId="19" fontId="7" fillId="17" borderId="19" xfId="0" applyNumberFormat="1" applyFont="1" applyFill="1" applyBorder="1" applyAlignment="1" applyProtection="1">
      <alignment horizontal="center" vertical="center" wrapText="1"/>
      <protection locked="0"/>
    </xf>
    <xf numFmtId="19" fontId="7" fillId="17" borderId="60" xfId="0" applyNumberFormat="1" applyFont="1" applyFill="1" applyBorder="1" applyAlignment="1" applyProtection="1">
      <alignment horizontal="center" vertical="center" wrapText="1"/>
      <protection locked="0"/>
    </xf>
    <xf numFmtId="0" fontId="1" fillId="3" borderId="0" xfId="0" applyFont="1" applyFill="1" applyAlignment="1">
      <alignment horizontal="center"/>
    </xf>
    <xf numFmtId="0" fontId="1" fillId="3" borderId="0" xfId="0" applyFont="1" applyFill="1" applyAlignment="1">
      <alignment horizontal="center" vertical="center"/>
    </xf>
    <xf numFmtId="0" fontId="20" fillId="0" borderId="67" xfId="0" applyFont="1" applyBorder="1" applyAlignment="1">
      <alignment horizontal="center" vertical="center" wrapText="1"/>
    </xf>
    <xf numFmtId="0" fontId="20" fillId="0" borderId="68" xfId="0" applyFont="1" applyBorder="1" applyAlignment="1">
      <alignment horizontal="center" vertical="center" wrapText="1"/>
    </xf>
    <xf numFmtId="0" fontId="20" fillId="0" borderId="26" xfId="0" applyFont="1" applyBorder="1" applyAlignment="1">
      <alignment horizontal="center" vertical="center" wrapText="1"/>
    </xf>
    <xf numFmtId="0" fontId="21" fillId="6" borderId="69" xfId="0" applyFont="1" applyFill="1" applyBorder="1" applyAlignment="1">
      <alignment horizontal="center" vertical="center" wrapText="1"/>
    </xf>
    <xf numFmtId="0" fontId="21" fillId="6" borderId="70" xfId="0" applyFont="1" applyFill="1" applyBorder="1" applyAlignment="1">
      <alignment horizontal="center" vertical="center" wrapText="1"/>
    </xf>
    <xf numFmtId="0" fontId="21" fillId="6" borderId="57" xfId="0" applyFont="1" applyFill="1" applyBorder="1" applyAlignment="1">
      <alignment horizontal="center" vertical="center" wrapText="1"/>
    </xf>
    <xf numFmtId="0" fontId="21" fillId="3" borderId="67" xfId="0" applyFont="1" applyFill="1" applyBorder="1" applyAlignment="1">
      <alignment horizontal="center" vertical="center" wrapText="1"/>
    </xf>
    <xf numFmtId="0" fontId="21" fillId="3" borderId="68" xfId="0" applyFont="1" applyFill="1" applyBorder="1" applyAlignment="1">
      <alignment horizontal="center" vertical="center" wrapText="1"/>
    </xf>
    <xf numFmtId="0" fontId="21" fillId="3" borderId="26" xfId="0" applyFont="1" applyFill="1" applyBorder="1" applyAlignment="1">
      <alignment horizontal="center" vertical="center" wrapText="1"/>
    </xf>
    <xf numFmtId="0" fontId="20" fillId="0" borderId="85" xfId="0" applyFont="1" applyBorder="1" applyAlignment="1">
      <alignment horizontal="center" vertical="center"/>
    </xf>
    <xf numFmtId="0" fontId="20" fillId="0" borderId="88" xfId="0" applyFont="1" applyBorder="1" applyAlignment="1">
      <alignment horizontal="center" vertical="center"/>
    </xf>
    <xf numFmtId="0" fontId="20" fillId="0" borderId="86" xfId="0" applyFont="1" applyBorder="1" applyAlignment="1">
      <alignment horizontal="center" vertical="center"/>
    </xf>
    <xf numFmtId="0" fontId="20" fillId="0" borderId="71" xfId="0" applyFont="1" applyBorder="1" applyAlignment="1">
      <alignment horizontal="center" vertical="center" wrapText="1"/>
    </xf>
    <xf numFmtId="0" fontId="20" fillId="0" borderId="72" xfId="0" applyFont="1" applyBorder="1" applyAlignment="1">
      <alignment horizontal="center" vertical="center" wrapText="1"/>
    </xf>
    <xf numFmtId="0" fontId="20" fillId="0" borderId="4" xfId="0" applyFont="1" applyBorder="1" applyAlignment="1">
      <alignment horizontal="center" vertical="center" wrapText="1"/>
    </xf>
    <xf numFmtId="0" fontId="21" fillId="6" borderId="4" xfId="0" applyFont="1" applyFill="1" applyBorder="1" applyAlignment="1">
      <alignment horizontal="center" vertical="center" wrapText="1"/>
    </xf>
    <xf numFmtId="0" fontId="20" fillId="0" borderId="4" xfId="0" applyFont="1" applyBorder="1" applyAlignment="1">
      <alignment horizontal="center" vertical="center"/>
    </xf>
  </cellXfs>
  <cellStyles count="2">
    <cellStyle name="Normal" xfId="0" builtinId="0"/>
    <cellStyle name="Percent" xfId="1" builtinId="5"/>
  </cellStyles>
  <dxfs count="4">
    <dxf>
      <font>
        <color theme="0"/>
      </font>
      <fill>
        <patternFill>
          <bgColor rgb="FFFF0000"/>
        </patternFill>
      </fill>
    </dxf>
    <dxf>
      <font>
        <color theme="0"/>
      </font>
      <fill>
        <patternFill>
          <bgColor rgb="FF00B050"/>
        </patternFill>
      </fill>
    </dxf>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2" defaultPivotStyle="PivotStyleLight16"/>
  <colors>
    <mruColors>
      <color rgb="FF00A249"/>
      <color rgb="FFFFFF9F"/>
      <color rgb="FFFAF3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8BD21D10-EC42-11CE-9E0D-00AA006002F3}"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8BD21D10-EC42-11CE-9E0D-00AA006002F3}"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8BD21D10-EC42-11CE-9E0D-00AA006002F3}"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FD181E0-5E2F-11CE-A449-00AA004A803D}"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CheckBox" fmlaLink="$O$28" noThreeD="1"/>
</file>

<file path=xl/ctrlProps/ctrlProp2.xml><?xml version="1.0" encoding="utf-8"?>
<formControlPr xmlns="http://schemas.microsoft.com/office/spreadsheetml/2009/9/main" objectType="CheckBox" fmlaLink="$O$29" noThreeD="1"/>
</file>

<file path=xl/ctrlProps/ctrlProp3.xml><?xml version="1.0" encoding="utf-8"?>
<formControlPr xmlns="http://schemas.microsoft.com/office/spreadsheetml/2009/9/main" objectType="CheckBox" fmlaLink="$O$30" noThreeD="1"/>
</file>

<file path=xl/ctrlProps/ctrlProp4.xml><?xml version="1.0" encoding="utf-8"?>
<formControlPr xmlns="http://schemas.microsoft.com/office/spreadsheetml/2009/9/main" objectType="CheckBox" fmlaLink="$O$31" noThreeD="1"/>
</file>

<file path=xl/ctrlProps/ctrlProp5.xml><?xml version="1.0" encoding="utf-8"?>
<formControlPr xmlns="http://schemas.microsoft.com/office/spreadsheetml/2009/9/main" objectType="CheckBox" fmlaLink="$O$32" noThreeD="1"/>
</file>

<file path=xl/ctrlProps/ctrlProp6.xml><?xml version="1.0" encoding="utf-8"?>
<formControlPr xmlns="http://schemas.microsoft.com/office/spreadsheetml/2009/9/main" objectType="CheckBox" fmlaLink="$O$33" noThreeD="1"/>
</file>

<file path=xl/ctrlProps/ctrlProp7.xml><?xml version="1.0" encoding="utf-8"?>
<formControlPr xmlns="http://schemas.microsoft.com/office/spreadsheetml/2009/9/main" objectType="CheckBox" fmlaLink="$O$35" noThreeD="1"/>
</file>

<file path=xl/ctrlProps/ctrlProp8.xml><?xml version="1.0" encoding="utf-8"?>
<formControlPr xmlns="http://schemas.microsoft.com/office/spreadsheetml/2009/9/main" objectType="CheckBox" fmlaLink="$O$36" noThreeD="1"/>
</file>

<file path=xl/ctrlProps/ctrlProp9.xml><?xml version="1.0" encoding="utf-8"?>
<formControlPr xmlns="http://schemas.microsoft.com/office/spreadsheetml/2009/9/main" objectType="CheckBox" fmlaLink="$O$37" noThreeD="1"/>
</file>

<file path=xl/ctrlProps/ctrlProp10.xml><?xml version="1.0" encoding="utf-8"?>
<formControlPr xmlns="http://schemas.microsoft.com/office/spreadsheetml/2009/9/main" objectType="CheckBox" fmlaLink="$O$34" noThreeD="1"/>
</file>

<file path=xl/ctrlProps/ctrlProp11.xml><?xml version="1.0" encoding="utf-8"?>
<formControlPr xmlns="http://schemas.microsoft.com/office/spreadsheetml/2009/9/main" objectType="CheckBox" fmlaLink="$O$39" lockText="1" noThreeD="1"/>
</file>

<file path=xl/ctrlProps/ctrlProp12.xml><?xml version="1.0" encoding="utf-8"?>
<formControlPr xmlns="http://schemas.microsoft.com/office/spreadsheetml/2009/9/main" objectType="CheckBox" fmlaLink="$O$38" noThreeD="1"/>
</file>

<file path=xl/ctrlProps/ctrlProp13.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emf"/><Relationship Id="rId3" Type="http://schemas.openxmlformats.org/officeDocument/2006/relationships/image" Target="../media/image10.emf"/><Relationship Id="rId7" Type="http://schemas.openxmlformats.org/officeDocument/2006/relationships/image" Target="../media/image7.emf"/><Relationship Id="rId12" Type="http://schemas.openxmlformats.org/officeDocument/2006/relationships/image" Target="../media/image2.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3.emf"/><Relationship Id="rId5" Type="http://schemas.openxmlformats.org/officeDocument/2006/relationships/image" Target="../media/image12.emf"/><Relationship Id="rId10" Type="http://schemas.openxmlformats.org/officeDocument/2006/relationships/image" Target="../media/image4.emf"/><Relationship Id="rId4" Type="http://schemas.openxmlformats.org/officeDocument/2006/relationships/image" Target="../media/image11.emf"/><Relationship Id="rId9"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7</xdr:col>
      <xdr:colOff>342900</xdr:colOff>
      <xdr:row>12</xdr:row>
      <xdr:rowOff>9526</xdr:rowOff>
    </xdr:from>
    <xdr:to>
      <xdr:col>8</xdr:col>
      <xdr:colOff>2244</xdr:colOff>
      <xdr:row>34</xdr:row>
      <xdr:rowOff>19050</xdr:rowOff>
    </xdr:to>
    <xdr:sp macro="[0]!Stamp" textlink="">
      <xdr:nvSpPr>
        <xdr:cNvPr id="2" name="Rectangle 1">
          <a:extLst>
            <a:ext uri="{FF2B5EF4-FFF2-40B4-BE49-F238E27FC236}">
              <a16:creationId xmlns:a16="http://schemas.microsoft.com/office/drawing/2014/main" id="{00000000-0008-0000-0000-000002000000}"/>
            </a:ext>
          </a:extLst>
        </xdr:cNvPr>
        <xdr:cNvSpPr/>
      </xdr:nvSpPr>
      <xdr:spPr>
        <a:xfrm>
          <a:off x="11125200" y="2495551"/>
          <a:ext cx="392769" cy="4467224"/>
        </a:xfrm>
        <a:prstGeom prst="rect">
          <a:avLst/>
        </a:prstGeom>
        <a:solidFill>
          <a:schemeClr val="tx2">
            <a:lumMod val="60000"/>
            <a:lumOff val="40000"/>
          </a:schemeClr>
        </a:solidFill>
        <a:ln>
          <a:solidFill>
            <a:schemeClr val="accent1">
              <a:lumMod val="40000"/>
              <a:lumOff val="60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PH"/>
        </a:p>
      </xdr:txBody>
    </xdr:sp>
    <xdr:clientData/>
  </xdr:twoCellAnchor>
  <xdr:twoCellAnchor editAs="oneCell">
    <xdr:from>
      <xdr:col>0</xdr:col>
      <xdr:colOff>0</xdr:colOff>
      <xdr:row>0</xdr:row>
      <xdr:rowOff>1</xdr:rowOff>
    </xdr:from>
    <xdr:to>
      <xdr:col>2</xdr:col>
      <xdr:colOff>90768</xdr:colOff>
      <xdr:row>3</xdr:row>
      <xdr:rowOff>2472</xdr:rowOff>
    </xdr:to>
    <xdr:pic>
      <xdr:nvPicPr>
        <xdr:cNvPr id="6178" name="Picture 34" descr="Image result for pearson">
          <a:extLst>
            <a:ext uri="{FF2B5EF4-FFF2-40B4-BE49-F238E27FC236}">
              <a16:creationId xmlns:a16="http://schemas.microsoft.com/office/drawing/2014/main" id="{00000000-0008-0000-0000-000022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1"/>
          <a:ext cx="1333500" cy="621196"/>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5</xdr:col>
          <xdr:colOff>209550</xdr:colOff>
          <xdr:row>2</xdr:row>
          <xdr:rowOff>57150</xdr:rowOff>
        </xdr:from>
        <xdr:to>
          <xdr:col>5</xdr:col>
          <xdr:colOff>1257300</xdr:colOff>
          <xdr:row>4</xdr:row>
          <xdr:rowOff>114300</xdr:rowOff>
        </xdr:to>
        <xdr:sp macro="" textlink="">
          <xdr:nvSpPr>
            <xdr:cNvPr id="6162" name="SaveButton" hidden="1">
              <a:extLst>
                <a:ext uri="{63B3BB69-23CF-44E3-9099-C40C66FF867C}">
                  <a14:compatExt spid="_x0000_s6162"/>
                </a:ext>
                <a:ext uri="{FF2B5EF4-FFF2-40B4-BE49-F238E27FC236}">
                  <a16:creationId xmlns:a16="http://schemas.microsoft.com/office/drawing/2014/main" id="{00000000-0008-0000-0000-000012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4</xdr:row>
          <xdr:rowOff>180975</xdr:rowOff>
        </xdr:from>
        <xdr:to>
          <xdr:col>5</xdr:col>
          <xdr:colOff>1257300</xdr:colOff>
          <xdr:row>7</xdr:row>
          <xdr:rowOff>28575</xdr:rowOff>
        </xdr:to>
        <xdr:sp macro="" textlink="">
          <xdr:nvSpPr>
            <xdr:cNvPr id="6164" name="UpdateButton" hidden="1">
              <a:extLst>
                <a:ext uri="{63B3BB69-23CF-44E3-9099-C40C66FF867C}">
                  <a14:compatExt spid="_x0000_s6164"/>
                </a:ext>
                <a:ext uri="{FF2B5EF4-FFF2-40B4-BE49-F238E27FC236}">
                  <a16:creationId xmlns:a16="http://schemas.microsoft.com/office/drawing/2014/main" id="{00000000-0008-0000-0000-000014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7</xdr:row>
          <xdr:rowOff>95250</xdr:rowOff>
        </xdr:from>
        <xdr:to>
          <xdr:col>5</xdr:col>
          <xdr:colOff>1257300</xdr:colOff>
          <xdr:row>9</xdr:row>
          <xdr:rowOff>152400</xdr:rowOff>
        </xdr:to>
        <xdr:sp macro="" textlink="">
          <xdr:nvSpPr>
            <xdr:cNvPr id="6165" name="ClearButton" hidden="1">
              <a:extLst>
                <a:ext uri="{63B3BB69-23CF-44E3-9099-C40C66FF867C}">
                  <a14:compatExt spid="_x0000_s6165"/>
                </a:ext>
                <a:ext uri="{FF2B5EF4-FFF2-40B4-BE49-F238E27FC236}">
                  <a16:creationId xmlns:a16="http://schemas.microsoft.com/office/drawing/2014/main" id="{00000000-0008-0000-0000-000015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76200</xdr:rowOff>
        </xdr:from>
        <xdr:to>
          <xdr:col>2</xdr:col>
          <xdr:colOff>2495550</xdr:colOff>
          <xdr:row>11</xdr:row>
          <xdr:rowOff>104775</xdr:rowOff>
        </xdr:to>
        <xdr:sp macro="" textlink="">
          <xdr:nvSpPr>
            <xdr:cNvPr id="6170" name="ScrollBar1" hidden="1">
              <a:extLst>
                <a:ext uri="{63B3BB69-23CF-44E3-9099-C40C66FF867C}">
                  <a14:compatExt spid="_x0000_s6170"/>
                </a:ext>
                <a:ext uri="{FF2B5EF4-FFF2-40B4-BE49-F238E27FC236}">
                  <a16:creationId xmlns:a16="http://schemas.microsoft.com/office/drawing/2014/main" id="{00000000-0008-0000-0000-00001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9</xdr:row>
          <xdr:rowOff>114300</xdr:rowOff>
        </xdr:from>
        <xdr:to>
          <xdr:col>4</xdr:col>
          <xdr:colOff>190500</xdr:colOff>
          <xdr:row>11</xdr:row>
          <xdr:rowOff>66675</xdr:rowOff>
        </xdr:to>
        <xdr:sp macro="" textlink="">
          <xdr:nvSpPr>
            <xdr:cNvPr id="6171" name="RetrieveButton" hidden="1">
              <a:extLst>
                <a:ext uri="{63B3BB69-23CF-44E3-9099-C40C66FF867C}">
                  <a14:compatExt spid="_x0000_s6171"/>
                </a:ext>
                <a:ext uri="{FF2B5EF4-FFF2-40B4-BE49-F238E27FC236}">
                  <a16:creationId xmlns:a16="http://schemas.microsoft.com/office/drawing/2014/main" id="{00000000-0008-0000-0000-00001B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25</xdr:row>
          <xdr:rowOff>38100</xdr:rowOff>
        </xdr:from>
        <xdr:to>
          <xdr:col>5</xdr:col>
          <xdr:colOff>1343025</xdr:colOff>
          <xdr:row>26</xdr:row>
          <xdr:rowOff>47625</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0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Name, e-mail address and callback of the customer is inaccurate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25</xdr:row>
          <xdr:rowOff>180975</xdr:rowOff>
        </xdr:from>
        <xdr:to>
          <xdr:col>5</xdr:col>
          <xdr:colOff>1343025</xdr:colOff>
          <xdr:row>27</xdr:row>
          <xdr:rowOff>38100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0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 escalation process was not followed (if applicable)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26</xdr:row>
          <xdr:rowOff>152400</xdr:rowOff>
        </xdr:from>
        <xdr:to>
          <xdr:col>5</xdr:col>
          <xdr:colOff>1343025</xdr:colOff>
          <xdr:row>27</xdr:row>
          <xdr:rowOff>152400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0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Opportunities in tagging the correct Product, Platform, Category &amp; Resolution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27</xdr:row>
          <xdr:rowOff>123825</xdr:rowOff>
        </xdr:from>
        <xdr:to>
          <xdr:col>6</xdr:col>
          <xdr:colOff>9525</xdr:colOff>
          <xdr:row>28</xdr:row>
          <xdr:rowOff>142875</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0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Inaccurate and/or incomplete information was documented in the transaction (phone, chat &amp;  email)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28</xdr:row>
          <xdr:rowOff>95250</xdr:rowOff>
        </xdr:from>
        <xdr:to>
          <xdr:col>5</xdr:col>
          <xdr:colOff>1343025</xdr:colOff>
          <xdr:row>29</xdr:row>
          <xdr:rowOff>114300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0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 didn't exhaust the resources/tools or steps before escalating the case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29</xdr:row>
          <xdr:rowOff>66675</xdr:rowOff>
        </xdr:from>
        <xdr:to>
          <xdr:col>5</xdr:col>
          <xdr:colOff>2038350</xdr:colOff>
          <xdr:row>30</xdr:row>
          <xdr:rowOff>85725</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0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Account Name was incorrectly tagged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31</xdr:row>
          <xdr:rowOff>0</xdr:rowOff>
        </xdr:from>
        <xdr:to>
          <xdr:col>5</xdr:col>
          <xdr:colOff>1962150</xdr:colOff>
          <xdr:row>32</xdr:row>
          <xdr:rowOff>38100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0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Opportunities were observed when following Access Code Guideline/Account Security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31</xdr:row>
          <xdr:rowOff>161925</xdr:rowOff>
        </xdr:from>
        <xdr:to>
          <xdr:col>5</xdr:col>
          <xdr:colOff>1343025</xdr:colOff>
          <xdr:row>33</xdr:row>
          <xdr:rowOff>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0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Opportunities were observed when following the call/chat flow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32</xdr:row>
          <xdr:rowOff>142875</xdr:rowOff>
        </xdr:from>
        <xdr:to>
          <xdr:col>5</xdr:col>
          <xdr:colOff>1343025</xdr:colOff>
          <xdr:row>33</xdr:row>
          <xdr:rowOff>171450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0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Challenges with providing the status of the case or any update (Callbacks)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30</xdr:row>
          <xdr:rowOff>38100</xdr:rowOff>
        </xdr:from>
        <xdr:to>
          <xdr:col>5</xdr:col>
          <xdr:colOff>2038350</xdr:colOff>
          <xdr:row>31</xdr:row>
          <xdr:rowOff>57150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0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 agent utilized the hold in Avaya instead of using GAD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2914650</xdr:colOff>
          <xdr:row>41</xdr:row>
          <xdr:rowOff>190500</xdr:rowOff>
        </xdr:from>
        <xdr:to>
          <xdr:col>5</xdr:col>
          <xdr:colOff>123825</xdr:colOff>
          <xdr:row>47</xdr:row>
          <xdr:rowOff>95250</xdr:rowOff>
        </xdr:to>
        <xdr:sp macro="" textlink="">
          <xdr:nvSpPr>
            <xdr:cNvPr id="6222" name="StrengthsTextBox" hidden="1">
              <a:extLst>
                <a:ext uri="{63B3BB69-23CF-44E3-9099-C40C66FF867C}">
                  <a14:compatExt spid="_x0000_s6222"/>
                </a:ext>
                <a:ext uri="{FF2B5EF4-FFF2-40B4-BE49-F238E27FC236}">
                  <a16:creationId xmlns:a16="http://schemas.microsoft.com/office/drawing/2014/main" id="{00000000-0008-0000-0000-00004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2914650</xdr:colOff>
          <xdr:row>40</xdr:row>
          <xdr:rowOff>209550</xdr:rowOff>
        </xdr:from>
        <xdr:to>
          <xdr:col>4</xdr:col>
          <xdr:colOff>1123950</xdr:colOff>
          <xdr:row>41</xdr:row>
          <xdr:rowOff>190500</xdr:rowOff>
        </xdr:to>
        <xdr:sp macro="" textlink="">
          <xdr:nvSpPr>
            <xdr:cNvPr id="6223" name="StrengthsLabel" hidden="1">
              <a:extLst>
                <a:ext uri="{63B3BB69-23CF-44E3-9099-C40C66FF867C}">
                  <a14:compatExt spid="_x0000_s6223"/>
                </a:ext>
                <a:ext uri="{FF2B5EF4-FFF2-40B4-BE49-F238E27FC236}">
                  <a16:creationId xmlns:a16="http://schemas.microsoft.com/office/drawing/2014/main" id="{00000000-0008-0000-0000-00004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209550</xdr:colOff>
          <xdr:row>41</xdr:row>
          <xdr:rowOff>190500</xdr:rowOff>
        </xdr:from>
        <xdr:to>
          <xdr:col>8</xdr:col>
          <xdr:colOff>809625</xdr:colOff>
          <xdr:row>47</xdr:row>
          <xdr:rowOff>95250</xdr:rowOff>
        </xdr:to>
        <xdr:sp macro="" textlink="">
          <xdr:nvSpPr>
            <xdr:cNvPr id="6224" name="OpportinitiesTextBox" hidden="1">
              <a:extLst>
                <a:ext uri="{63B3BB69-23CF-44E3-9099-C40C66FF867C}">
                  <a14:compatExt spid="_x0000_s6224"/>
                </a:ext>
                <a:ext uri="{FF2B5EF4-FFF2-40B4-BE49-F238E27FC236}">
                  <a16:creationId xmlns:a16="http://schemas.microsoft.com/office/drawing/2014/main" id="{00000000-0008-0000-0000-00005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209550</xdr:colOff>
          <xdr:row>41</xdr:row>
          <xdr:rowOff>0</xdr:rowOff>
        </xdr:from>
        <xdr:to>
          <xdr:col>5</xdr:col>
          <xdr:colOff>2085975</xdr:colOff>
          <xdr:row>41</xdr:row>
          <xdr:rowOff>190500</xdr:rowOff>
        </xdr:to>
        <xdr:sp macro="" textlink="">
          <xdr:nvSpPr>
            <xdr:cNvPr id="6225" name="OpportinitiesLabel"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41</xdr:row>
          <xdr:rowOff>190500</xdr:rowOff>
        </xdr:from>
        <xdr:to>
          <xdr:col>2</xdr:col>
          <xdr:colOff>2819400</xdr:colOff>
          <xdr:row>47</xdr:row>
          <xdr:rowOff>95250</xdr:rowOff>
        </xdr:to>
        <xdr:sp macro="" textlink="">
          <xdr:nvSpPr>
            <xdr:cNvPr id="6226" name="SummaryTextBox"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41</xdr:row>
          <xdr:rowOff>0</xdr:rowOff>
        </xdr:from>
        <xdr:to>
          <xdr:col>2</xdr:col>
          <xdr:colOff>1895475</xdr:colOff>
          <xdr:row>41</xdr:row>
          <xdr:rowOff>190500</xdr:rowOff>
        </xdr:to>
        <xdr:sp macro="" textlink="">
          <xdr:nvSpPr>
            <xdr:cNvPr id="6227" name="SummaryLabel"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34</xdr:row>
          <xdr:rowOff>85725</xdr:rowOff>
        </xdr:from>
        <xdr:to>
          <xdr:col>9</xdr:col>
          <xdr:colOff>419100</xdr:colOff>
          <xdr:row>35</xdr:row>
          <xdr:rowOff>152400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0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Will you recommend this transaction as a good example to our clients?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0</xdr:row>
          <xdr:rowOff>85725</xdr:rowOff>
        </xdr:from>
        <xdr:to>
          <xdr:col>2</xdr:col>
          <xdr:colOff>1171575</xdr:colOff>
          <xdr:row>1</xdr:row>
          <xdr:rowOff>180975</xdr:rowOff>
        </xdr:to>
        <xdr:sp macro="" textlink="">
          <xdr:nvSpPr>
            <xdr:cNvPr id="6245" name="ContactUsButton"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33</xdr:row>
          <xdr:rowOff>171450</xdr:rowOff>
        </xdr:from>
        <xdr:to>
          <xdr:col>5</xdr:col>
          <xdr:colOff>1809750</xdr:colOff>
          <xdr:row>35</xdr:row>
          <xdr:rowOff>180975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Agent was able to follow up with the customer after 48 hrs regarding the status of the issue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34</xdr:row>
          <xdr:rowOff>28575</xdr:rowOff>
        </xdr:from>
        <xdr:to>
          <xdr:col>5</xdr:col>
          <xdr:colOff>1809750</xdr:colOff>
          <xdr:row>35</xdr:row>
          <xdr:rowOff>114300</xdr:rowOff>
        </xdr:to>
        <xdr:sp macro="" textlink="">
          <xdr:nvSpPr>
            <xdr:cNvPr id="6254" name="Group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For Service Recovery Group Only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xdr:row>
          <xdr:rowOff>190500</xdr:rowOff>
        </xdr:from>
        <xdr:to>
          <xdr:col>9</xdr:col>
          <xdr:colOff>828675</xdr:colOff>
          <xdr:row>3</xdr:row>
          <xdr:rowOff>38100</xdr:rowOff>
        </xdr:to>
        <xdr:sp macro="" textlink="">
          <xdr:nvSpPr>
            <xdr:cNvPr id="6261" name="RandomizerButton"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orantmp1\Documents\Projects\Scorecard\New%20Scorecard%20v4.5.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orecard"/>
      <sheetName val="Database"/>
      <sheetName val="List"/>
      <sheetName val="Definitions Document"/>
      <sheetName val="EMAIL"/>
      <sheetName val="Pegsheet"/>
    </sheetNames>
    <sheetDataSet>
      <sheetData sheetId="0">
        <row r="5">
          <cell r="I5"/>
        </row>
        <row r="16">
          <cell r="P16"/>
        </row>
        <row r="17">
          <cell r="P17"/>
        </row>
        <row r="26">
          <cell r="P26"/>
        </row>
      </sheetData>
      <sheetData sheetId="1"/>
      <sheetData sheetId="2">
        <row r="1">
          <cell r="B1" t="str">
            <v>Agent Name</v>
          </cell>
          <cell r="I1" t="str">
            <v>Evaluator</v>
          </cell>
        </row>
        <row r="2">
          <cell r="B2" t="str">
            <v>Morante, Marcus Grande</v>
          </cell>
          <cell r="I2" t="str">
            <v>qwerty</v>
          </cell>
          <cell r="L2" t="str">
            <v>Access Code</v>
          </cell>
          <cell r="N2" t="str">
            <v>Opening Spiel/Greeting</v>
          </cell>
          <cell r="BU2" t="str">
            <v>Survey Manipulation - Email Address Manipulation</v>
          </cell>
        </row>
        <row r="3">
          <cell r="L3" t="str">
            <v>Account Information</v>
          </cell>
          <cell r="N3" t="str">
            <v>Probing/Asking for Issue</v>
          </cell>
          <cell r="BU3" t="str">
            <v>Survey Manipulation - No Case Created</v>
          </cell>
        </row>
        <row r="4">
          <cell r="L4" t="str">
            <v>Assignments</v>
          </cell>
          <cell r="N4" t="str">
            <v>(while On Hold) Probing/Asking for Issue</v>
          </cell>
          <cell r="BU4" t="str">
            <v>Survey Manipulation - Not Owning Case</v>
          </cell>
        </row>
        <row r="5">
          <cell r="L5" t="str">
            <v>Content Errors</v>
          </cell>
          <cell r="N5" t="str">
            <v>Troubleshooting</v>
          </cell>
          <cell r="AB5" t="str">
            <v>Make sure that the issue is completely and accurately resolved</v>
          </cell>
          <cell r="AD5" t="str">
            <v>Setting the proper &amp; realistic expectation</v>
          </cell>
          <cell r="BU5" t="str">
            <v>Delayed Opening Spiel</v>
          </cell>
        </row>
        <row r="6">
          <cell r="L6" t="str">
            <v>Course Management</v>
          </cell>
          <cell r="N6" t="str">
            <v>(while On Hold) Troubleshooting</v>
          </cell>
          <cell r="AB6" t="str">
            <v>Adhering to policies and procedures</v>
          </cell>
          <cell r="AD6" t="str">
            <v>Partial explanation behind the solution was provided</v>
          </cell>
          <cell r="BU6" t="str">
            <v>Survey Manipulation - Case Aging (Case left "Open/In Progress")</v>
          </cell>
        </row>
        <row r="7">
          <cell r="L7" t="str">
            <v>Course Tools</v>
          </cell>
          <cell r="N7" t="str">
            <v>Resolution</v>
          </cell>
          <cell r="BU7" t="str">
            <v>Call/Chat Abandonment</v>
          </cell>
        </row>
        <row r="8">
          <cell r="L8" t="str">
            <v>Enrolling in a course</v>
          </cell>
          <cell r="N8" t="str">
            <v>Transaction Close</v>
          </cell>
          <cell r="BU8" t="str">
            <v>Failure to Follow Call Back Process</v>
          </cell>
        </row>
        <row r="9">
          <cell r="L9" t="str">
            <v>Gradebook</v>
          </cell>
        </row>
        <row r="10">
          <cell r="L10" t="str">
            <v>Online Purchase</v>
          </cell>
        </row>
        <row r="11">
          <cell r="L11" t="str">
            <v>Sign In/Password</v>
          </cell>
        </row>
        <row r="12">
          <cell r="L12" t="str">
            <v>Temporary Access</v>
          </cell>
        </row>
        <row r="15">
          <cell r="L15" t="str">
            <v>Add-on or plug-in</v>
          </cell>
        </row>
        <row r="16">
          <cell r="L16" t="str">
            <v>Browsers/OS</v>
          </cell>
        </row>
        <row r="17">
          <cell r="L17" t="str">
            <v>Internal Escalations</v>
          </cell>
        </row>
        <row r="18">
          <cell r="L18" t="str">
            <v>Internal Tools</v>
          </cell>
        </row>
        <row r="19">
          <cell r="L19" t="str">
            <v>Purchased from 3rd Party</v>
          </cell>
        </row>
        <row r="20">
          <cell r="L20" t="str">
            <v>Referrals</v>
          </cell>
          <cell r="AB20" t="str">
            <v>Echoing of the same question</v>
          </cell>
          <cell r="AD20" t="str">
            <v>Setting expectation</v>
          </cell>
          <cell r="AF20" t="str">
            <v>Sensible/appropriate question should be asked</v>
          </cell>
          <cell r="AH20" t="str">
            <v>Pacing/Matching customer's competency</v>
          </cell>
          <cell r="AJ20" t="str">
            <v>Writing Mechanics</v>
          </cell>
        </row>
        <row r="21">
          <cell r="L21" t="str">
            <v>Replaced Access Code</v>
          </cell>
          <cell r="AB21" t="str">
            <v>Listens/Reads to respond instead of understand</v>
          </cell>
          <cell r="AD21" t="str">
            <v>Unecessary Hold / Call Handling Awareness /
Response timeliness</v>
          </cell>
          <cell r="AF21" t="str">
            <v>Asking the right questions to narrow down the problem</v>
          </cell>
          <cell r="AH21" t="str">
            <v>Adaptability to customer's soft/technical skill competency</v>
          </cell>
          <cell r="AJ21" t="str">
            <v xml:space="preserve">Positive Framing used / Providing Alternatives or Options </v>
          </cell>
        </row>
        <row r="22">
          <cell r="L22" t="str">
            <v>Training</v>
          </cell>
          <cell r="AH22" t="str">
            <v>Grammar Accuracy/Language Accuracy</v>
          </cell>
          <cell r="AJ22" t="str">
            <v>Thought Organization Techniques</v>
          </cell>
        </row>
        <row r="23">
          <cell r="AJ23" t="str">
            <v>Direct responses given</v>
          </cell>
        </row>
        <row r="25">
          <cell r="L25" t="str">
            <v>Sampling Level 1</v>
          </cell>
        </row>
        <row r="26">
          <cell r="L26" t="str">
            <v>1st Top Driver (CSAT)</v>
          </cell>
        </row>
        <row r="27">
          <cell r="L27" t="str">
            <v>2nd Top Driver (CSAT)</v>
          </cell>
        </row>
        <row r="28">
          <cell r="L28" t="str">
            <v>3rd Top Driver (CSAT)</v>
          </cell>
        </row>
        <row r="29">
          <cell r="L29" t="str">
            <v>4th Top Driver (CSAT)</v>
          </cell>
        </row>
        <row r="30">
          <cell r="L30" t="str">
            <v>5th Top Driver (CSAT)</v>
          </cell>
        </row>
        <row r="31">
          <cell r="L31" t="str">
            <v>6th Top Driver (CSAT)</v>
          </cell>
        </row>
        <row r="32">
          <cell r="L32" t="str">
            <v>7th Top Driver (CSAT)</v>
          </cell>
        </row>
        <row r="33">
          <cell r="L33" t="str">
            <v>8th Top Driver (CSAT)</v>
          </cell>
        </row>
        <row r="34">
          <cell r="L34" t="str">
            <v>9th Top Driver (CSAT)</v>
          </cell>
        </row>
        <row r="35">
          <cell r="L35" t="str">
            <v>10th Top Driver (CSAT)</v>
          </cell>
        </row>
        <row r="36">
          <cell r="L36" t="str">
            <v>11th Top Driver (CSAT)</v>
          </cell>
        </row>
        <row r="37">
          <cell r="L37" t="str">
            <v>SBS</v>
          </cell>
        </row>
        <row r="38">
          <cell r="L38" t="str">
            <v>Vocamus</v>
          </cell>
        </row>
        <row r="39">
          <cell r="L39" t="str">
            <v>Monitor &amp; Coach</v>
          </cell>
          <cell r="AB39" t="str">
            <v>Sensitivity to customer nuances</v>
          </cell>
          <cell r="AD39" t="str">
            <v>Willingness to help</v>
          </cell>
        </row>
        <row r="40">
          <cell r="AB40" t="str">
            <v>Follows caller's lead in terms of profile (Thinker, feeler, controller, and entertainer)</v>
          </cell>
        </row>
        <row r="41">
          <cell r="AB41" t="str">
            <v>Empathy and rapport</v>
          </cell>
        </row>
      </sheetData>
      <sheetData sheetId="3"/>
      <sheetData sheetId="4"/>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10.xml"/><Relationship Id="rId21" Type="http://schemas.openxmlformats.org/officeDocument/2006/relationships/image" Target="../media/image9.emf"/><Relationship Id="rId34" Type="http://schemas.openxmlformats.org/officeDocument/2006/relationships/ctrlProp" Target="../ctrlProps/ctrlProp5.xml"/><Relationship Id="rId42"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trlProp" Target="../ctrlProps/ctrlProp3.xml"/><Relationship Id="rId37" Type="http://schemas.openxmlformats.org/officeDocument/2006/relationships/ctrlProp" Target="../ctrlProps/ctrlProp8.xml"/><Relationship Id="rId40" Type="http://schemas.openxmlformats.org/officeDocument/2006/relationships/ctrlProp" Target="../ctrlProps/ctrlProp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1.xml"/><Relationship Id="rId35" Type="http://schemas.openxmlformats.org/officeDocument/2006/relationships/ctrlProp" Target="../ctrlProps/ctrlProp6.xml"/><Relationship Id="rId43" Type="http://schemas.openxmlformats.org/officeDocument/2006/relationships/comments" Target="../comments1.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trlProp" Target="../ctrlProps/ctrlProp4.xml"/><Relationship Id="rId38"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tint="0.39997558519241921"/>
  </sheetPr>
  <dimension ref="A1:V66"/>
  <sheetViews>
    <sheetView showGridLines="0" showRowColHeaders="0" tabSelected="1" zoomScaleNormal="100" workbookViewId="0">
      <selection activeCell="E20" sqref="E20"/>
    </sheetView>
  </sheetViews>
  <sheetFormatPr defaultColWidth="0" defaultRowHeight="0" customHeight="1" zeroHeight="1"/>
  <cols>
    <col min="1" max="1" width="2.28515625" customWidth="1"/>
    <col min="2" max="2" width="16.28515625" customWidth="1"/>
    <col min="3" max="3" width="47.42578125" bestFit="1" customWidth="1"/>
    <col min="4" max="4" width="18" bestFit="1" customWidth="1"/>
    <col min="5" max="5" width="39.85546875" customWidth="1"/>
    <col min="6" max="6" width="32.7109375" customWidth="1"/>
    <col min="7" max="7" width="2.42578125" customWidth="1"/>
    <col min="8" max="8" width="11" customWidth="1"/>
    <col min="9" max="9" width="46" bestFit="1" customWidth="1"/>
    <col min="10" max="10" width="13.42578125" customWidth="1"/>
    <col min="11" max="11" width="33.7109375" bestFit="1" customWidth="1"/>
    <col min="12" max="13" width="15.7109375" customWidth="1"/>
    <col min="14" max="14" width="1.85546875" customWidth="1"/>
    <col min="15" max="15" width="20.85546875" hidden="1" customWidth="1"/>
    <col min="16" max="16" width="18.85546875" hidden="1" customWidth="1"/>
    <col min="17" max="17" width="3.85546875" hidden="1" customWidth="1"/>
    <col min="18" max="18" width="21" hidden="1" customWidth="1"/>
    <col min="19" max="19" width="15" hidden="1" customWidth="1"/>
    <col min="20" max="20" width="3.85546875" hidden="1" customWidth="1"/>
    <col min="21" max="21" width="20.140625" hidden="1" customWidth="1"/>
    <col min="22" max="22" width="12.28515625" hidden="1" customWidth="1"/>
    <col min="23" max="16384" width="9.140625" hidden="1"/>
  </cols>
  <sheetData>
    <row r="1" spans="1:22" ht="15.75" thickBot="1">
      <c r="D1" s="133"/>
      <c r="E1" s="133"/>
      <c r="F1" s="132"/>
      <c r="G1" s="132"/>
      <c r="J1" s="132"/>
      <c r="K1" s="132"/>
      <c r="L1" s="132"/>
      <c r="M1" s="132"/>
      <c r="N1" s="132"/>
      <c r="O1" s="139" t="s">
        <v>1773</v>
      </c>
      <c r="P1" s="140" t="s">
        <v>1775</v>
      </c>
      <c r="R1" s="125" t="s">
        <v>1774</v>
      </c>
      <c r="S1" s="128" t="s">
        <v>1784</v>
      </c>
      <c r="U1" s="139" t="s">
        <v>181</v>
      </c>
      <c r="V1" s="140"/>
    </row>
    <row r="2" spans="1:22" ht="16.5" thickTop="1" thickBot="1">
      <c r="C2" s="133"/>
      <c r="D2" s="133"/>
      <c r="E2" s="133"/>
      <c r="F2" s="132"/>
      <c r="G2" s="132"/>
      <c r="H2" s="79" t="s">
        <v>1854</v>
      </c>
      <c r="I2" s="56"/>
      <c r="J2" s="132"/>
      <c r="K2" s="63" t="s">
        <v>222</v>
      </c>
      <c r="L2" s="64" t="s">
        <v>223</v>
      </c>
      <c r="M2" s="87" t="s">
        <v>218</v>
      </c>
      <c r="N2" s="132"/>
      <c r="O2" s="115" t="s">
        <v>1776</v>
      </c>
      <c r="P2" s="116">
        <f>IF(P3=0,0,IF(P4=0,0,1))</f>
        <v>1</v>
      </c>
      <c r="R2" s="126">
        <f>IF($D$14=0,0%,IF($R$26=1,$P$2*0.2,$P$2*0.5))</f>
        <v>0.5</v>
      </c>
      <c r="S2" s="123">
        <v>3</v>
      </c>
      <c r="U2" s="115" t="s">
        <v>1776</v>
      </c>
      <c r="V2" s="116"/>
    </row>
    <row r="3" spans="1:22" ht="16.5" thickTop="1" thickBot="1">
      <c r="A3" s="132"/>
      <c r="B3" s="132"/>
      <c r="D3" s="132"/>
      <c r="G3" s="132"/>
      <c r="H3" s="79" t="s">
        <v>1855</v>
      </c>
      <c r="I3" s="59"/>
      <c r="J3" s="132"/>
      <c r="K3" s="68" t="s">
        <v>224</v>
      </c>
      <c r="L3" s="92">
        <f>COUNTIF($J$14:$J$40,$K3)</f>
        <v>0</v>
      </c>
      <c r="M3" s="94">
        <f t="shared" ref="M3:M9" si="0">SUMIF($J$14:$J$40,$K3,$I$14:$I$40)</f>
        <v>0</v>
      </c>
      <c r="N3" s="132"/>
      <c r="O3" s="117" t="s">
        <v>1777</v>
      </c>
      <c r="P3" s="118">
        <f>IF($E15="",1,0)</f>
        <v>1</v>
      </c>
      <c r="R3" s="127">
        <f>IF($D$17=0,0%,IF($R$26=1,$P$5*0.3,$P$5*0.2))</f>
        <v>0.2</v>
      </c>
      <c r="U3" s="117" t="s">
        <v>1777</v>
      </c>
      <c r="V3" s="118" t="str">
        <f>IF($E$15="","",VLOOKUP($E$15,List!$AB$5:$AC$6,2,FALSE))</f>
        <v/>
      </c>
    </row>
    <row r="4" spans="1:22" ht="16.5" thickTop="1" thickBot="1">
      <c r="A4" s="132"/>
      <c r="B4" s="79" t="s">
        <v>1671</v>
      </c>
      <c r="C4" s="56"/>
      <c r="D4" s="79" t="s">
        <v>7</v>
      </c>
      <c r="E4" s="58"/>
      <c r="G4" s="132"/>
      <c r="H4" s="79" t="s">
        <v>1548</v>
      </c>
      <c r="I4" s="56"/>
      <c r="J4" s="132"/>
      <c r="K4" s="68" t="s">
        <v>226</v>
      </c>
      <c r="L4" s="92">
        <f t="shared" ref="L4:L9" si="1">COUNTIF($J$14:$J$40,$K4)</f>
        <v>0</v>
      </c>
      <c r="M4" s="94">
        <f t="shared" si="0"/>
        <v>0</v>
      </c>
      <c r="N4" s="132"/>
      <c r="O4" s="121" t="s">
        <v>1778</v>
      </c>
      <c r="P4" s="118">
        <f>IF($E16="",1,0)</f>
        <v>1</v>
      </c>
      <c r="R4" s="127">
        <f>IF($D$22=0,0%,IF($R$26=1,$P$10*0.3,$P$10*0.2))</f>
        <v>0.2</v>
      </c>
      <c r="U4" s="121" t="s">
        <v>1778</v>
      </c>
      <c r="V4" s="122" t="str">
        <f>IF($E$16="","",VLOOKUP($E$16,List!$AD$5:$AE$6,2,FALSE))</f>
        <v/>
      </c>
    </row>
    <row r="5" spans="1:22" ht="16.5" thickTop="1" thickBot="1">
      <c r="A5" s="132"/>
      <c r="B5" s="79" t="s">
        <v>9</v>
      </c>
      <c r="C5" s="56"/>
      <c r="D5" s="79" t="s">
        <v>8</v>
      </c>
      <c r="E5" s="56"/>
      <c r="G5" s="132"/>
      <c r="H5" s="79" t="s">
        <v>221</v>
      </c>
      <c r="I5" s="59" t="str">
        <f>IF(AgentName="","",VLOOKUP(AgentName,List!$B:$C,2,FALSE))</f>
        <v/>
      </c>
      <c r="J5" s="132"/>
      <c r="K5" s="68" t="s">
        <v>1653</v>
      </c>
      <c r="L5" s="92">
        <f t="shared" si="1"/>
        <v>0</v>
      </c>
      <c r="M5" s="94">
        <f t="shared" si="0"/>
        <v>0</v>
      </c>
      <c r="N5" s="132"/>
      <c r="O5" s="115" t="s">
        <v>1779</v>
      </c>
      <c r="P5" s="116">
        <f>IF(P6=0,0,IF(P7=0,0,IF(P8=0,0,IF(P9=0,0,1))))</f>
        <v>1</v>
      </c>
      <c r="R5" s="127">
        <f>IF($D$26=0,0%,IF($R$26=1,$P$14*0.2,$P$14*0.1))</f>
        <v>0.1</v>
      </c>
      <c r="U5" s="115" t="s">
        <v>1779</v>
      </c>
      <c r="V5" s="116"/>
    </row>
    <row r="6" spans="1:22" ht="16.5" thickTop="1" thickBot="1">
      <c r="A6" s="132"/>
      <c r="B6" s="79" t="s">
        <v>216</v>
      </c>
      <c r="C6" s="56"/>
      <c r="D6" s="184" t="s">
        <v>215</v>
      </c>
      <c r="E6" s="56"/>
      <c r="G6" s="132"/>
      <c r="H6" s="79" t="s">
        <v>1857</v>
      </c>
      <c r="I6" s="60" t="str">
        <f>IF($C$4="","",VLOOKUP(EmployeeNum,EMAIL!$A:$C,3,FALSE))</f>
        <v/>
      </c>
      <c r="J6" s="132"/>
      <c r="K6" s="68" t="s">
        <v>227</v>
      </c>
      <c r="L6" s="92">
        <f t="shared" si="1"/>
        <v>0</v>
      </c>
      <c r="M6" s="94">
        <f t="shared" si="0"/>
        <v>0</v>
      </c>
      <c r="N6" s="132"/>
      <c r="O6" s="117" t="s">
        <v>1777</v>
      </c>
      <c r="P6" s="118">
        <f>IF($E18="",1,0)</f>
        <v>1</v>
      </c>
      <c r="R6" s="147">
        <f>IF($R$26=1,IF($O$38=TRUE,0%,SUM($R$2:$R$5)),SUM($R$2:$R$5))</f>
        <v>0.99999999999999989</v>
      </c>
      <c r="U6" s="117" t="s">
        <v>1777</v>
      </c>
      <c r="V6" s="118" t="str">
        <f>IF($E$18="","",VLOOKUP($E$18,List!$AB$20:$AC$21,2,FALSE))</f>
        <v/>
      </c>
    </row>
    <row r="7" spans="1:22" ht="16.5" thickTop="1" thickBot="1">
      <c r="A7" s="132"/>
      <c r="B7" s="79" t="s">
        <v>218</v>
      </c>
      <c r="C7" s="57"/>
      <c r="D7" s="184" t="s">
        <v>217</v>
      </c>
      <c r="E7" s="56"/>
      <c r="G7" s="132"/>
      <c r="H7" s="79" t="s">
        <v>225</v>
      </c>
      <c r="I7" s="61" t="str">
        <f ca="1">IF(AgentName="","",NOW())</f>
        <v/>
      </c>
      <c r="J7" s="132"/>
      <c r="K7" s="68" t="s">
        <v>1654</v>
      </c>
      <c r="L7" s="92">
        <f t="shared" si="1"/>
        <v>0</v>
      </c>
      <c r="M7" s="94">
        <f t="shared" si="0"/>
        <v>0</v>
      </c>
      <c r="N7" s="132"/>
      <c r="O7" s="117" t="s">
        <v>1778</v>
      </c>
      <c r="P7" s="118">
        <f t="shared" ref="P7:P9" si="2">IF($E19="",1,0)</f>
        <v>1</v>
      </c>
      <c r="R7" s="148" t="s">
        <v>1877</v>
      </c>
      <c r="S7" s="160">
        <v>1.4814814814814723E-3</v>
      </c>
      <c r="U7" s="117" t="s">
        <v>1778</v>
      </c>
      <c r="V7" s="118" t="str">
        <f>IF($E$19="","",VLOOKUP($E$19,List!$AD$20:$AE$21,2,FALSE))</f>
        <v/>
      </c>
    </row>
    <row r="8" spans="1:22" ht="16.5" thickTop="1" thickBot="1">
      <c r="A8" s="132"/>
      <c r="B8" s="79" t="s">
        <v>232</v>
      </c>
      <c r="C8" s="56"/>
      <c r="D8" s="79" t="s">
        <v>219</v>
      </c>
      <c r="E8" s="56"/>
      <c r="G8" s="132"/>
      <c r="H8" s="79" t="s">
        <v>205</v>
      </c>
      <c r="I8" s="59" t="str">
        <f>IF(AgentName="","",VLOOKUP(AgentName,List!$B:$D,3,FALSE))</f>
        <v/>
      </c>
      <c r="J8" s="132"/>
      <c r="K8" s="68" t="s">
        <v>215</v>
      </c>
      <c r="L8" s="92">
        <f t="shared" si="1"/>
        <v>0</v>
      </c>
      <c r="M8" s="94">
        <f t="shared" si="0"/>
        <v>0</v>
      </c>
      <c r="N8" s="132"/>
      <c r="O8" s="117" t="s">
        <v>1780</v>
      </c>
      <c r="P8" s="118">
        <f t="shared" si="2"/>
        <v>1</v>
      </c>
      <c r="U8" s="117" t="s">
        <v>1780</v>
      </c>
      <c r="V8" s="118" t="str">
        <f>IF($E$20="","",VLOOKUP($E$20,List!$AF$20:$AG$21,2,FALSE))</f>
        <v/>
      </c>
    </row>
    <row r="9" spans="1:22" ht="16.5" thickTop="1" thickBot="1">
      <c r="A9" s="132"/>
      <c r="B9" s="79" t="s">
        <v>6</v>
      </c>
      <c r="C9" s="165"/>
      <c r="D9" s="79" t="s">
        <v>220</v>
      </c>
      <c r="E9" s="56"/>
      <c r="G9" s="132"/>
      <c r="H9" s="79" t="s">
        <v>228</v>
      </c>
      <c r="I9" s="59" t="str">
        <f>IF(AgentName="","",VLOOKUP(AgentName,List!$B:$F,4,FALSE))</f>
        <v/>
      </c>
      <c r="J9" s="132"/>
      <c r="K9" s="91" t="s">
        <v>230</v>
      </c>
      <c r="L9" s="93">
        <f t="shared" si="1"/>
        <v>0</v>
      </c>
      <c r="M9" s="95">
        <f t="shared" si="0"/>
        <v>0</v>
      </c>
      <c r="N9" s="132"/>
      <c r="O9" s="117" t="s">
        <v>1781</v>
      </c>
      <c r="P9" s="118">
        <f t="shared" si="2"/>
        <v>1</v>
      </c>
      <c r="U9" s="117" t="s">
        <v>1781</v>
      </c>
      <c r="V9" s="118" t="str">
        <f>IF($E$21="","",VLOOKUP($E$21,List!$AH$20:$AI$22,2,FALSE))</f>
        <v/>
      </c>
    </row>
    <row r="10" spans="1:22" ht="16.5" thickTop="1" thickBot="1">
      <c r="A10" s="132"/>
      <c r="B10" s="137" t="s">
        <v>1797</v>
      </c>
      <c r="C10" s="136"/>
      <c r="E10" s="132"/>
      <c r="G10" s="132"/>
      <c r="H10" s="79" t="s">
        <v>229</v>
      </c>
      <c r="I10" s="59" t="str">
        <f>IF(AgentName="","",VLOOKUP(AgentName,List!$B:$F,5,FALSE))</f>
        <v/>
      </c>
      <c r="J10" s="132"/>
      <c r="K10" s="96" t="s">
        <v>1604</v>
      </c>
      <c r="L10" s="97">
        <f>SUM(L3:L9)</f>
        <v>0</v>
      </c>
      <c r="M10" s="98">
        <f>SUM(M3:M9)</f>
        <v>0</v>
      </c>
      <c r="N10" s="132"/>
      <c r="O10" s="115" t="s">
        <v>2</v>
      </c>
      <c r="P10" s="116">
        <f>IF(COUNTIF($P$11:$P$13,0)=0,1,0)</f>
        <v>1</v>
      </c>
      <c r="U10" s="154" t="s">
        <v>2407</v>
      </c>
      <c r="V10" s="155" t="str">
        <f>IF($E$25="","",VLOOKUP($E$25,List!$AJ$20:$AK$23,2,FALSE))</f>
        <v/>
      </c>
    </row>
    <row r="11" spans="1:22" ht="15.75" thickTop="1">
      <c r="A11" s="132"/>
      <c r="B11" s="132"/>
      <c r="E11" s="132"/>
      <c r="F11" s="134"/>
      <c r="G11" s="132"/>
      <c r="J11" s="132"/>
      <c r="K11" s="132"/>
      <c r="L11" s="132"/>
      <c r="M11" s="132"/>
      <c r="N11" s="132"/>
      <c r="O11" s="117" t="s">
        <v>1777</v>
      </c>
      <c r="P11" s="118">
        <f>IF($E25="",1,0)</f>
        <v>1</v>
      </c>
      <c r="U11" s="115" t="s">
        <v>2</v>
      </c>
      <c r="V11" s="116"/>
    </row>
    <row r="12" spans="1:22" ht="15.75" thickBot="1">
      <c r="A12" s="132"/>
      <c r="B12" s="132"/>
      <c r="F12" s="132"/>
      <c r="G12" s="132"/>
      <c r="H12" s="132"/>
      <c r="I12" s="132"/>
      <c r="J12" s="188"/>
      <c r="K12" s="132"/>
      <c r="L12" s="132"/>
      <c r="M12" s="132"/>
      <c r="N12" s="132"/>
      <c r="O12" s="117" t="s">
        <v>1778</v>
      </c>
      <c r="P12" s="118">
        <f>IF($E23="",1,0)</f>
        <v>1</v>
      </c>
      <c r="Q12" s="77"/>
      <c r="T12" s="77"/>
      <c r="U12" s="117" t="s">
        <v>1777</v>
      </c>
      <c r="V12" s="118" t="str">
        <f>IF($E$23="","",VLOOKUP($E$23,List!$AB$39:$AC$41,2,FALSE))</f>
        <v/>
      </c>
    </row>
    <row r="13" spans="1:22" ht="16.5" thickTop="1" thickBot="1">
      <c r="A13" s="132"/>
      <c r="B13" s="132"/>
      <c r="C13" s="166" t="s">
        <v>0</v>
      </c>
      <c r="D13" s="80" t="s">
        <v>1616</v>
      </c>
      <c r="E13" s="80" t="s">
        <v>1617</v>
      </c>
      <c r="F13" s="80" t="s">
        <v>1618</v>
      </c>
      <c r="G13" s="132"/>
      <c r="I13" s="62" t="s">
        <v>218</v>
      </c>
      <c r="J13" s="227" t="s">
        <v>231</v>
      </c>
      <c r="K13" s="228"/>
      <c r="L13" s="62" t="s">
        <v>1655</v>
      </c>
      <c r="M13" s="62" t="s">
        <v>1656</v>
      </c>
      <c r="N13" s="132"/>
      <c r="O13" s="117" t="s">
        <v>1780</v>
      </c>
      <c r="P13" s="118">
        <f>IF($E24="",1,0)</f>
        <v>1</v>
      </c>
      <c r="U13" s="117" t="s">
        <v>1778</v>
      </c>
      <c r="V13" s="118" t="str">
        <f>IF($E$24="","",VLOOKUP($E$24,List!$AD$39:$AE$39,2,FALSE))</f>
        <v/>
      </c>
    </row>
    <row r="14" spans="1:22" ht="16.5" thickTop="1" thickBot="1">
      <c r="A14" s="132"/>
      <c r="B14" s="132"/>
      <c r="C14" s="64" t="s">
        <v>1</v>
      </c>
      <c r="D14" s="64" t="str">
        <f>IF(P2=1,"Meeting","Not Meeting")</f>
        <v>Meeting</v>
      </c>
      <c r="E14" s="64"/>
      <c r="F14" s="149"/>
      <c r="G14" s="132"/>
      <c r="I14" s="111" t="str">
        <f t="shared" ref="I14:I34" si="3">IF($M14="","",IF(M14&lt;L14,(M14+1)-(L14),(M14-L14)))</f>
        <v/>
      </c>
      <c r="J14" s="229"/>
      <c r="K14" s="230"/>
      <c r="L14" s="12"/>
      <c r="M14" s="89"/>
      <c r="N14" s="132"/>
      <c r="O14" s="119" t="s">
        <v>4</v>
      </c>
      <c r="P14" s="120">
        <f>IF(COUNTIF($O$28:$O$38,TRUE)=0,1,0)</f>
        <v>1</v>
      </c>
    </row>
    <row r="15" spans="1:22" ht="16.5" thickTop="1" thickBot="1">
      <c r="A15" s="132"/>
      <c r="B15" s="132"/>
      <c r="C15" s="173" t="s">
        <v>208</v>
      </c>
      <c r="D15" s="86" t="str">
        <f>IF($P3=1,"Meeting","Not Meeting")</f>
        <v>Meeting</v>
      </c>
      <c r="E15" s="65"/>
      <c r="F15" s="65"/>
      <c r="G15" s="132"/>
      <c r="I15" s="111" t="str">
        <f t="shared" si="3"/>
        <v/>
      </c>
      <c r="J15" s="222"/>
      <c r="K15" s="223"/>
      <c r="L15" s="85" t="str">
        <f t="shared" ref="L15:L34" si="4">IF(J15="","",IF(M14="","",M14))</f>
        <v/>
      </c>
      <c r="M15" s="89"/>
      <c r="N15" s="132"/>
    </row>
    <row r="16" spans="1:22" ht="15.75" thickBot="1">
      <c r="A16" s="132"/>
      <c r="B16" s="132"/>
      <c r="C16" s="81" t="s">
        <v>209</v>
      </c>
      <c r="D16" s="86" t="str">
        <f>IF($P4=1,"Meeting","Not Meeting")</f>
        <v>Meeting</v>
      </c>
      <c r="E16" s="66"/>
      <c r="F16" s="66"/>
      <c r="G16" s="132"/>
      <c r="I16" s="111" t="str">
        <f t="shared" si="3"/>
        <v/>
      </c>
      <c r="J16" s="231"/>
      <c r="K16" s="232"/>
      <c r="L16" s="85" t="str">
        <f t="shared" si="4"/>
        <v/>
      </c>
      <c r="M16" s="89"/>
      <c r="N16" s="132"/>
      <c r="O16" s="129" t="s">
        <v>492</v>
      </c>
      <c r="P16" s="124" t="str">
        <f ca="1">IF(I7="","",LOOKUP($I7,List!$BC$2:$BC$55,List!$BD$2:$BD$55))</f>
        <v/>
      </c>
      <c r="R16" s="129" t="s">
        <v>2475</v>
      </c>
      <c r="S16" s="124" t="str">
        <f>IF(AgentName="","",VLOOKUP(EmployeeNum,EMAIL!$A:$E,5,FALSE))</f>
        <v/>
      </c>
    </row>
    <row r="17" spans="1:22" ht="16.5" thickTop="1" thickBot="1">
      <c r="A17" s="132"/>
      <c r="B17" s="132"/>
      <c r="C17" s="64" t="s">
        <v>1779</v>
      </c>
      <c r="D17" s="64" t="str">
        <f>IF(P5=1,"Meeting","Not Meeting")</f>
        <v>Meeting</v>
      </c>
      <c r="E17" s="64"/>
      <c r="F17" s="149"/>
      <c r="G17" s="132"/>
      <c r="I17" s="111" t="str">
        <f t="shared" si="3"/>
        <v/>
      </c>
      <c r="J17" s="231"/>
      <c r="K17" s="232"/>
      <c r="L17" s="85" t="str">
        <f t="shared" si="4"/>
        <v/>
      </c>
      <c r="M17" s="89"/>
      <c r="N17" s="132"/>
      <c r="O17" s="129" t="s">
        <v>1594</v>
      </c>
      <c r="P17" s="124" t="str">
        <f ca="1">IF(WorkWeek="","",VLOOKUP(WorkWeek,List!$BD:$BE,2,FALSE))</f>
        <v/>
      </c>
    </row>
    <row r="18" spans="1:22" ht="16.5" thickTop="1" thickBot="1">
      <c r="A18" s="132"/>
      <c r="B18" s="132"/>
      <c r="C18" s="82" t="str">
        <f>IF(TransactionType="Chat","Reading Comprehension","Active Listening and Case Review")</f>
        <v>Active Listening and Case Review</v>
      </c>
      <c r="D18" s="86" t="str">
        <f>IF($P6=1,"Meeting","Not Meeting")</f>
        <v>Meeting</v>
      </c>
      <c r="E18" s="65"/>
      <c r="F18" s="65"/>
      <c r="G18" s="132"/>
      <c r="I18" s="111" t="str">
        <f t="shared" si="3"/>
        <v/>
      </c>
      <c r="J18" s="222"/>
      <c r="K18" s="223"/>
      <c r="L18" s="85" t="str">
        <f t="shared" si="4"/>
        <v/>
      </c>
      <c r="M18" s="89"/>
      <c r="N18" s="132"/>
      <c r="O18" s="129" t="s">
        <v>233</v>
      </c>
      <c r="P18" s="124" t="str">
        <f ca="1">IF(Month="","",VLOOKUP(Month,List!$BE:$BF,2,FALSE))</f>
        <v/>
      </c>
    </row>
    <row r="19" spans="1:22" ht="15.75" thickBot="1">
      <c r="A19" s="132"/>
      <c r="B19" s="132"/>
      <c r="C19" s="81" t="s">
        <v>1615</v>
      </c>
      <c r="D19" s="86" t="str">
        <f>IF($P7=1,"Meeting","Not Meeting")</f>
        <v>Meeting</v>
      </c>
      <c r="E19" s="66"/>
      <c r="F19" s="66"/>
      <c r="G19" s="132"/>
      <c r="I19" s="111" t="str">
        <f t="shared" si="3"/>
        <v/>
      </c>
      <c r="J19" s="222"/>
      <c r="K19" s="223"/>
      <c r="L19" s="85" t="str">
        <f t="shared" si="4"/>
        <v/>
      </c>
      <c r="M19" s="89"/>
      <c r="N19" s="132"/>
      <c r="O19" s="129" t="s">
        <v>1785</v>
      </c>
      <c r="P19" s="141" t="str">
        <f>IF($I$6="","",VLOOKUP($I$6,EMAIL!$C:$D,2,FALSE))</f>
        <v/>
      </c>
    </row>
    <row r="20" spans="1:22" ht="15.75" thickBot="1">
      <c r="A20" s="132"/>
      <c r="B20" s="132"/>
      <c r="C20" s="83" t="s">
        <v>1879</v>
      </c>
      <c r="D20" s="86" t="str">
        <f>IF($P8=1,"Meeting","Not Meeting")</f>
        <v>Meeting</v>
      </c>
      <c r="E20" s="67"/>
      <c r="F20" s="66"/>
      <c r="G20" s="132"/>
      <c r="I20" s="111" t="str">
        <f t="shared" si="3"/>
        <v/>
      </c>
      <c r="J20" s="222"/>
      <c r="K20" s="223"/>
      <c r="L20" s="85" t="str">
        <f t="shared" si="4"/>
        <v/>
      </c>
      <c r="M20" s="89"/>
      <c r="N20" s="132"/>
      <c r="O20" s="129" t="s">
        <v>1787</v>
      </c>
      <c r="P20" s="124" t="str">
        <f ca="1">IF($P$19="","",NOW()-$P$19)</f>
        <v/>
      </c>
    </row>
    <row r="21" spans="1:22" ht="15.75" thickBot="1">
      <c r="A21" s="132"/>
      <c r="B21" s="132"/>
      <c r="C21" s="83" t="s">
        <v>2659</v>
      </c>
      <c r="D21" s="86" t="str">
        <f>IF($P9=1,"Meeting","Not Meeting")</f>
        <v>Meeting</v>
      </c>
      <c r="E21" s="66"/>
      <c r="F21" s="66"/>
      <c r="G21" s="132"/>
      <c r="I21" s="111" t="str">
        <f t="shared" si="3"/>
        <v/>
      </c>
      <c r="J21" s="222"/>
      <c r="K21" s="223"/>
      <c r="L21" s="85" t="str">
        <f t="shared" si="4"/>
        <v/>
      </c>
      <c r="M21" s="89"/>
      <c r="N21" s="132"/>
      <c r="O21" s="129" t="s">
        <v>1788</v>
      </c>
      <c r="P21" s="124" t="str">
        <f>IF(AgentName="","",List!$BS$11)</f>
        <v/>
      </c>
    </row>
    <row r="22" spans="1:22" ht="16.5" thickTop="1" thickBot="1">
      <c r="A22" s="132"/>
      <c r="B22" s="132"/>
      <c r="C22" s="64" t="s">
        <v>2</v>
      </c>
      <c r="D22" s="64" t="str">
        <f>IF(P10=1,"Meeting","Not Meeting")</f>
        <v>Meeting</v>
      </c>
      <c r="E22" s="64"/>
      <c r="F22" s="149"/>
      <c r="G22" s="132"/>
      <c r="I22" s="111" t="str">
        <f t="shared" si="3"/>
        <v/>
      </c>
      <c r="J22" s="222"/>
      <c r="K22" s="223"/>
      <c r="L22" s="85" t="str">
        <f t="shared" si="4"/>
        <v/>
      </c>
      <c r="M22" s="89"/>
      <c r="N22" s="132"/>
      <c r="O22" s="130" t="s">
        <v>1782</v>
      </c>
      <c r="P22" s="124" t="str">
        <f>IF(E4="","",VLOOKUP($E$4,List!$S$2:$T$21,2,FALSE))</f>
        <v/>
      </c>
    </row>
    <row r="23" spans="1:22" ht="16.5" thickTop="1" thickBot="1">
      <c r="A23" s="132"/>
      <c r="B23" s="132"/>
      <c r="C23" s="82" t="s">
        <v>1881</v>
      </c>
      <c r="D23" s="86" t="str">
        <f>IF($P12=1,"Meeting","Not Meeting")</f>
        <v>Meeting</v>
      </c>
      <c r="E23" s="66"/>
      <c r="F23" s="66"/>
      <c r="G23" s="132"/>
      <c r="I23" s="111" t="str">
        <f t="shared" si="3"/>
        <v/>
      </c>
      <c r="J23" s="222"/>
      <c r="K23" s="223"/>
      <c r="L23" s="85" t="str">
        <f t="shared" si="4"/>
        <v/>
      </c>
      <c r="M23" s="89"/>
      <c r="N23" s="132"/>
      <c r="O23" s="130" t="s">
        <v>1783</v>
      </c>
      <c r="P23" s="124" t="str">
        <f>IF(E6="","",VLOOKUP($E$6,List!$S$2:$T$21,2,FALSE))</f>
        <v/>
      </c>
    </row>
    <row r="24" spans="1:22" ht="15.75" thickBot="1">
      <c r="A24" s="132"/>
      <c r="B24" s="132"/>
      <c r="C24" s="81" t="s">
        <v>210</v>
      </c>
      <c r="D24" s="186" t="str">
        <f>IF($P13=1,"Meeting","Not Meeting")</f>
        <v>Meeting</v>
      </c>
      <c r="E24" s="66"/>
      <c r="F24" s="66"/>
      <c r="G24" s="132"/>
      <c r="I24" s="111" t="str">
        <f t="shared" si="3"/>
        <v/>
      </c>
      <c r="J24" s="222"/>
      <c r="K24" s="223"/>
      <c r="L24" s="85" t="str">
        <f t="shared" si="4"/>
        <v/>
      </c>
      <c r="M24" s="89"/>
      <c r="N24" s="132"/>
      <c r="O24" s="130" t="s">
        <v>1786</v>
      </c>
      <c r="P24" s="124" t="str">
        <f>IF($D$39="","",VLOOKUP($D$39,List!$BM$2:$BN$3,2,FALSE))</f>
        <v/>
      </c>
    </row>
    <row r="25" spans="1:22" ht="15.75" thickBot="1">
      <c r="A25" s="132"/>
      <c r="B25" s="132"/>
      <c r="C25" s="81" t="str">
        <f>IF(TransactionType="Chat","Chat Strategy","Discourse")</f>
        <v>Discourse</v>
      </c>
      <c r="D25" s="187" t="str">
        <f>IF($P11=1,"Meeting","Not Meeting")</f>
        <v>Meeting</v>
      </c>
      <c r="E25" s="66"/>
      <c r="F25" s="66"/>
      <c r="G25" s="132"/>
      <c r="I25" s="111" t="str">
        <f t="shared" si="3"/>
        <v/>
      </c>
      <c r="J25" s="222"/>
      <c r="K25" s="223"/>
      <c r="L25" s="85" t="str">
        <f t="shared" si="4"/>
        <v/>
      </c>
      <c r="M25" s="89"/>
      <c r="N25" s="132"/>
      <c r="O25" s="130" t="s">
        <v>1790</v>
      </c>
      <c r="P25" s="124" t="str">
        <f>IFERROR(VLOOKUP($L$40,List!$BW$1:$BX$1,2,FALSE),"")</f>
        <v/>
      </c>
      <c r="U25" s="112"/>
      <c r="V25" s="112"/>
    </row>
    <row r="26" spans="1:22" s="112" customFormat="1" ht="16.5" thickTop="1" thickBot="1">
      <c r="A26" s="133"/>
      <c r="B26" s="133"/>
      <c r="C26" s="216" t="s">
        <v>4</v>
      </c>
      <c r="D26" s="216" t="str">
        <f>IF($P14=1,"Meeting","Not Meeting")</f>
        <v>Meeting</v>
      </c>
      <c r="E26" s="219"/>
      <c r="F26" s="219"/>
      <c r="G26" s="132"/>
      <c r="I26" s="111" t="str">
        <f t="shared" si="3"/>
        <v/>
      </c>
      <c r="J26" s="222"/>
      <c r="K26" s="223"/>
      <c r="L26" s="85" t="str">
        <f t="shared" si="4"/>
        <v/>
      </c>
      <c r="M26" s="89"/>
      <c r="N26" s="133"/>
      <c r="O26" s="130" t="s">
        <v>1789</v>
      </c>
      <c r="P26" s="124" t="str">
        <f>IF(AgentName="","",VLOOKUP(AgentName,List!$B:$G,6,FALSE))</f>
        <v/>
      </c>
      <c r="Q26"/>
      <c r="R26">
        <f>IF(OR(SupportType="case management",SupportType="escalations",SupportType="escalation",SupportType="product specialist",SupportType="stu escal",SupportType="stu escalation",SupportType="edu escalation",SupportType="edu escal")=TRUE,1,0)</f>
        <v>0</v>
      </c>
      <c r="S26"/>
      <c r="T26"/>
      <c r="U26"/>
      <c r="V26"/>
    </row>
    <row r="27" spans="1:22" ht="15.75" customHeight="1" thickBot="1">
      <c r="A27" s="132"/>
      <c r="B27" s="132"/>
      <c r="C27" s="217"/>
      <c r="D27" s="217"/>
      <c r="E27" s="220"/>
      <c r="F27" s="220"/>
      <c r="G27" s="132"/>
      <c r="I27" s="111" t="str">
        <f t="shared" si="3"/>
        <v/>
      </c>
      <c r="J27" s="222"/>
      <c r="K27" s="223"/>
      <c r="L27" s="85" t="str">
        <f t="shared" si="4"/>
        <v/>
      </c>
      <c r="M27" s="89"/>
      <c r="N27" s="132"/>
      <c r="O27" s="156" t="s">
        <v>1607</v>
      </c>
    </row>
    <row r="28" spans="1:22" ht="15.75" customHeight="1">
      <c r="A28" s="132"/>
      <c r="B28" s="132"/>
      <c r="C28" s="217"/>
      <c r="D28" s="217"/>
      <c r="E28" s="220"/>
      <c r="F28" s="220"/>
      <c r="G28" s="132"/>
      <c r="I28" s="111" t="str">
        <f t="shared" si="3"/>
        <v/>
      </c>
      <c r="J28" s="222"/>
      <c r="K28" s="223"/>
      <c r="L28" s="85" t="str">
        <f t="shared" si="4"/>
        <v/>
      </c>
      <c r="M28" s="89"/>
      <c r="N28" s="132"/>
      <c r="O28" s="157" t="b">
        <v>0</v>
      </c>
    </row>
    <row r="29" spans="1:22" ht="15.75" customHeight="1">
      <c r="A29" s="132"/>
      <c r="B29" s="132"/>
      <c r="C29" s="217"/>
      <c r="D29" s="217"/>
      <c r="E29" s="220"/>
      <c r="F29" s="220"/>
      <c r="G29" s="134"/>
      <c r="I29" s="111" t="str">
        <f t="shared" si="3"/>
        <v/>
      </c>
      <c r="J29" s="222"/>
      <c r="K29" s="223"/>
      <c r="L29" s="85" t="str">
        <f t="shared" si="4"/>
        <v/>
      </c>
      <c r="M29" s="89"/>
      <c r="N29" s="132"/>
      <c r="O29" s="158" t="b">
        <v>0</v>
      </c>
    </row>
    <row r="30" spans="1:22" ht="15.75" customHeight="1">
      <c r="A30" s="132"/>
      <c r="B30" s="132"/>
      <c r="C30" s="217"/>
      <c r="D30" s="217"/>
      <c r="E30" s="220"/>
      <c r="F30" s="220"/>
      <c r="G30" s="132"/>
      <c r="I30" s="111" t="str">
        <f t="shared" si="3"/>
        <v/>
      </c>
      <c r="J30" s="222"/>
      <c r="K30" s="223"/>
      <c r="L30" s="85" t="str">
        <f t="shared" si="4"/>
        <v/>
      </c>
      <c r="M30" s="89"/>
      <c r="N30" s="132"/>
      <c r="O30" s="158" t="b">
        <v>0</v>
      </c>
    </row>
    <row r="31" spans="1:22" ht="15.75" customHeight="1">
      <c r="A31" s="132"/>
      <c r="B31" s="132"/>
      <c r="C31" s="217"/>
      <c r="D31" s="217"/>
      <c r="E31" s="220"/>
      <c r="F31" s="220"/>
      <c r="G31" s="132"/>
      <c r="I31" s="111" t="str">
        <f t="shared" si="3"/>
        <v/>
      </c>
      <c r="J31" s="222"/>
      <c r="K31" s="223"/>
      <c r="L31" s="85" t="str">
        <f t="shared" si="4"/>
        <v/>
      </c>
      <c r="M31" s="89"/>
      <c r="N31" s="132"/>
      <c r="O31" s="158" t="b">
        <v>0</v>
      </c>
    </row>
    <row r="32" spans="1:22" ht="15">
      <c r="A32" s="132"/>
      <c r="B32" s="132"/>
      <c r="C32" s="217"/>
      <c r="D32" s="217"/>
      <c r="E32" s="220"/>
      <c r="F32" s="220"/>
      <c r="G32" s="132"/>
      <c r="I32" s="111" t="str">
        <f t="shared" si="3"/>
        <v/>
      </c>
      <c r="J32" s="222"/>
      <c r="K32" s="223"/>
      <c r="L32" s="85" t="str">
        <f t="shared" si="4"/>
        <v/>
      </c>
      <c r="M32" s="89"/>
      <c r="N32" s="132"/>
      <c r="O32" s="158" t="b">
        <v>0</v>
      </c>
    </row>
    <row r="33" spans="1:22" ht="15">
      <c r="A33" s="132"/>
      <c r="B33" s="132"/>
      <c r="C33" s="217"/>
      <c r="D33" s="217"/>
      <c r="E33" s="220"/>
      <c r="F33" s="220"/>
      <c r="G33" s="132"/>
      <c r="I33" s="111" t="str">
        <f t="shared" si="3"/>
        <v/>
      </c>
      <c r="J33" s="222"/>
      <c r="K33" s="223"/>
      <c r="L33" s="85" t="str">
        <f t="shared" si="4"/>
        <v/>
      </c>
      <c r="M33" s="89"/>
      <c r="N33" s="132"/>
      <c r="O33" s="158" t="b">
        <v>0</v>
      </c>
    </row>
    <row r="34" spans="1:22" ht="15.75" thickBot="1">
      <c r="A34" s="132"/>
      <c r="B34" s="132"/>
      <c r="C34" s="217"/>
      <c r="D34" s="217"/>
      <c r="E34" s="220"/>
      <c r="F34" s="220"/>
      <c r="G34" s="132"/>
      <c r="I34" s="135" t="str">
        <f t="shared" si="3"/>
        <v/>
      </c>
      <c r="J34" s="224"/>
      <c r="K34" s="225"/>
      <c r="L34" s="88" t="str">
        <f t="shared" si="4"/>
        <v/>
      </c>
      <c r="M34" s="90"/>
      <c r="N34" s="132"/>
      <c r="O34" s="158" t="b">
        <v>0</v>
      </c>
    </row>
    <row r="35" spans="1:22" ht="15.75" thickTop="1">
      <c r="A35" s="132"/>
      <c r="B35" s="132"/>
      <c r="C35" s="217"/>
      <c r="D35" s="217"/>
      <c r="E35" s="220"/>
      <c r="F35" s="220"/>
      <c r="G35" s="132"/>
      <c r="I35" s="132"/>
      <c r="J35" s="226"/>
      <c r="K35" s="226"/>
      <c r="L35" s="132"/>
      <c r="M35" s="132"/>
      <c r="N35" s="132"/>
      <c r="O35" s="158" t="b">
        <v>0</v>
      </c>
    </row>
    <row r="36" spans="1:22" ht="15.75" thickBot="1">
      <c r="A36" s="132"/>
      <c r="B36" s="132"/>
      <c r="C36" s="218"/>
      <c r="D36" s="218"/>
      <c r="E36" s="221"/>
      <c r="F36" s="221"/>
      <c r="G36" s="132"/>
      <c r="I36" s="132"/>
      <c r="J36" s="132"/>
      <c r="K36" s="132"/>
      <c r="L36" s="132"/>
      <c r="M36" s="132"/>
      <c r="N36" s="132"/>
      <c r="O36" s="158" t="b">
        <v>0</v>
      </c>
    </row>
    <row r="37" spans="1:22" ht="16.5" thickTop="1" thickBot="1">
      <c r="A37" s="132"/>
      <c r="B37" s="132"/>
      <c r="G37" s="132"/>
      <c r="I37" s="84" t="s">
        <v>1657</v>
      </c>
      <c r="J37" s="241"/>
      <c r="K37" s="242"/>
      <c r="L37" s="235"/>
      <c r="M37" s="236"/>
      <c r="N37" s="132"/>
      <c r="O37" s="158" t="b">
        <v>0</v>
      </c>
    </row>
    <row r="38" spans="1:22" ht="16.5" thickTop="1" thickBot="1">
      <c r="A38" s="132"/>
      <c r="B38" s="132"/>
      <c r="C38" s="237" t="s">
        <v>1876</v>
      </c>
      <c r="D38" s="238"/>
      <c r="E38" s="238"/>
      <c r="F38" s="239"/>
      <c r="G38" s="132"/>
      <c r="I38" s="84" t="s">
        <v>1875</v>
      </c>
      <c r="J38" s="241"/>
      <c r="K38" s="242"/>
      <c r="L38" s="241"/>
      <c r="M38" s="242"/>
      <c r="N38" s="132"/>
      <c r="O38" s="158" t="b">
        <v>0</v>
      </c>
      <c r="P38" t="s">
        <v>2417</v>
      </c>
    </row>
    <row r="39" spans="1:22" ht="16.5" thickTop="1" thickBot="1">
      <c r="A39" s="132"/>
      <c r="B39" s="132"/>
      <c r="C39" s="131" t="s">
        <v>1566</v>
      </c>
      <c r="D39" s="143"/>
      <c r="E39" s="144"/>
      <c r="F39" s="189"/>
      <c r="G39" s="132"/>
      <c r="I39" s="84" t="s">
        <v>1666</v>
      </c>
      <c r="J39" s="240"/>
      <c r="K39" s="240"/>
      <c r="L39" s="240"/>
      <c r="M39" s="240"/>
      <c r="N39" s="132"/>
      <c r="O39" s="159" t="b">
        <v>0</v>
      </c>
      <c r="P39" t="s">
        <v>2418</v>
      </c>
      <c r="Q39" s="132"/>
      <c r="T39" s="132"/>
      <c r="U39" s="132"/>
      <c r="V39" s="132"/>
    </row>
    <row r="40" spans="1:22" s="132" customFormat="1" ht="16.5" thickTop="1" thickBot="1">
      <c r="C40" s="84" t="s">
        <v>212</v>
      </c>
      <c r="D40" s="145"/>
      <c r="E40" s="146"/>
      <c r="F40" s="189"/>
      <c r="I40" s="84" t="s">
        <v>1658</v>
      </c>
      <c r="J40" s="235"/>
      <c r="K40" s="236"/>
      <c r="L40" s="76"/>
      <c r="M40" s="76"/>
      <c r="O40"/>
      <c r="P40"/>
      <c r="R40"/>
      <c r="S40"/>
    </row>
    <row r="41" spans="1:22" s="132" customFormat="1" ht="16.5" thickTop="1" thickBot="1">
      <c r="I41" s="84" t="s">
        <v>2706</v>
      </c>
      <c r="J41" s="235"/>
      <c r="K41" s="236"/>
      <c r="L41" s="142"/>
      <c r="M41" s="142"/>
      <c r="O41" s="128" t="s">
        <v>2406</v>
      </c>
      <c r="P41" s="124">
        <v>0</v>
      </c>
      <c r="R41"/>
      <c r="S41"/>
    </row>
    <row r="42" spans="1:22" s="132" customFormat="1" ht="16.5" thickTop="1" thickBot="1">
      <c r="C42" s="142"/>
      <c r="D42" s="142"/>
      <c r="E42" s="142"/>
      <c r="F42" s="142"/>
      <c r="G42" s="142"/>
      <c r="H42" s="142"/>
      <c r="I42" s="142"/>
      <c r="J42" s="142"/>
      <c r="K42" s="142"/>
      <c r="L42" s="142"/>
      <c r="M42" s="142"/>
      <c r="O42"/>
      <c r="P42"/>
      <c r="Q42"/>
      <c r="R42"/>
      <c r="S42"/>
      <c r="T42"/>
      <c r="U42"/>
      <c r="V42"/>
    </row>
    <row r="43" spans="1:22" ht="29.25" customHeight="1" thickTop="1" thickBot="1">
      <c r="A43" s="132"/>
      <c r="B43" s="132"/>
      <c r="C43" s="142"/>
      <c r="D43" s="142"/>
      <c r="E43" s="142"/>
      <c r="F43" s="142"/>
      <c r="G43" s="142"/>
      <c r="H43" s="142"/>
      <c r="I43" s="142"/>
      <c r="J43" s="233" t="s">
        <v>2775</v>
      </c>
      <c r="K43" s="234"/>
      <c r="L43" s="235"/>
      <c r="M43" s="236"/>
      <c r="N43" s="132"/>
    </row>
    <row r="44" spans="1:22" ht="16.5" thickTop="1" thickBot="1">
      <c r="A44" s="132"/>
      <c r="B44" s="132"/>
      <c r="C44" s="142"/>
      <c r="D44" s="142"/>
      <c r="E44" s="142"/>
      <c r="F44" s="142"/>
      <c r="G44" s="142"/>
      <c r="H44" s="142"/>
      <c r="I44" s="142"/>
      <c r="J44" s="142"/>
      <c r="K44" s="142"/>
      <c r="L44" s="142"/>
      <c r="M44" s="142"/>
      <c r="N44" s="132"/>
    </row>
    <row r="45" spans="1:22" ht="15.75" thickBot="1">
      <c r="A45" s="132"/>
      <c r="B45" s="132"/>
      <c r="C45" s="142"/>
      <c r="D45" s="142"/>
      <c r="E45" s="142"/>
      <c r="F45" s="142"/>
      <c r="G45" s="142"/>
      <c r="H45" s="142"/>
      <c r="I45" s="142"/>
      <c r="J45" s="197" t="s">
        <v>2780</v>
      </c>
      <c r="K45" s="205"/>
      <c r="L45" s="142"/>
      <c r="M45" s="142"/>
      <c r="N45" s="132"/>
    </row>
    <row r="46" spans="1:22" ht="15.75" thickBot="1">
      <c r="A46" s="132"/>
      <c r="B46" s="132"/>
      <c r="C46" s="142"/>
      <c r="D46" s="142"/>
      <c r="E46" s="142"/>
      <c r="F46" s="142"/>
      <c r="G46" s="142"/>
      <c r="H46" s="142"/>
      <c r="I46" s="142"/>
      <c r="J46" s="198" t="s">
        <v>2781</v>
      </c>
      <c r="K46" s="206"/>
      <c r="L46" s="142"/>
      <c r="M46" s="142"/>
      <c r="N46" s="132"/>
    </row>
    <row r="47" spans="1:22" ht="15.75" thickBot="1">
      <c r="A47" s="132"/>
      <c r="B47" s="132"/>
      <c r="C47" s="142"/>
      <c r="D47" s="142"/>
      <c r="E47" s="142"/>
      <c r="F47" s="142"/>
      <c r="G47" s="142"/>
      <c r="H47" s="142"/>
      <c r="I47" s="142"/>
      <c r="J47" s="199" t="s">
        <v>2782</v>
      </c>
      <c r="K47" s="207"/>
      <c r="L47" s="142"/>
      <c r="M47" s="142"/>
      <c r="N47" s="132"/>
    </row>
    <row r="48" spans="1:22" ht="15.75" thickBot="1">
      <c r="A48" s="132"/>
      <c r="B48" s="132"/>
      <c r="C48" s="142"/>
      <c r="D48" s="142"/>
      <c r="E48" s="142"/>
      <c r="F48" s="142"/>
      <c r="G48" s="142"/>
      <c r="H48" s="142"/>
      <c r="I48" s="142"/>
      <c r="J48" s="203" t="s">
        <v>2783</v>
      </c>
      <c r="K48" s="204" t="str">
        <f>IF(COUNTA($K$45:$K$47)=0,"",IF(K45="Fail","Level 1",IF(COUNTIF(K46:K47,"Fail")=2,"Level 2",IF(COUNTIF(K46:K47,"Fail")=1,"Level 3","Level 4"))))</f>
        <v/>
      </c>
      <c r="L48" s="142"/>
      <c r="M48" s="142"/>
      <c r="N48" s="132"/>
    </row>
    <row r="49" spans="1:14" ht="15">
      <c r="A49" s="132"/>
      <c r="B49" s="132"/>
      <c r="G49" s="132"/>
      <c r="H49" s="132"/>
      <c r="I49" s="132"/>
      <c r="J49" s="132"/>
      <c r="K49" s="132"/>
      <c r="L49" s="132"/>
      <c r="M49" s="132"/>
      <c r="N49" s="132"/>
    </row>
    <row r="50" spans="1:14" ht="15" hidden="1"/>
    <row r="51" spans="1:14" ht="15" hidden="1"/>
    <row r="52" spans="1:14" ht="15" hidden="1"/>
    <row r="53" spans="1:14" ht="15" hidden="1"/>
    <row r="54" spans="1:14" ht="15" hidden="1"/>
    <row r="55" spans="1:14" ht="15" hidden="1"/>
    <row r="56" spans="1:14" ht="15" hidden="1"/>
    <row r="57" spans="1:14" ht="15" hidden="1"/>
    <row r="58" spans="1:14" ht="15" hidden="1"/>
    <row r="59" spans="1:14" ht="15" hidden="1"/>
    <row r="60" spans="1:14" ht="15" hidden="1"/>
    <row r="61" spans="1:14" ht="15" hidden="1"/>
    <row r="62" spans="1:14" ht="15" hidden="1"/>
    <row r="63" spans="1:14" ht="15" hidden="1"/>
    <row r="64" spans="1:14" ht="15" hidden="1"/>
    <row r="65" ht="15" hidden="1"/>
    <row r="66" ht="15" hidden="1" customHeight="1"/>
  </sheetData>
  <sheetProtection algorithmName="SHA-512" hashValue="mawEgjlnrcy19Z0hcsb57XEI3WFIGBDjsxT2nvkRKRinKeWNdHU0vk35gt/i/brFise2LT3/oqLPyY+TMFUrhg==" saltValue="olJGzQEVC0gwKkoiiogyZg==" spinCount="100000" sheet="1" objects="1" scenarios="1" selectLockedCells="1"/>
  <dataConsolidate/>
  <mergeCells count="37">
    <mergeCell ref="J43:K43"/>
    <mergeCell ref="L43:M43"/>
    <mergeCell ref="J41:K41"/>
    <mergeCell ref="C38:F38"/>
    <mergeCell ref="L37:M37"/>
    <mergeCell ref="L39:M39"/>
    <mergeCell ref="J40:K40"/>
    <mergeCell ref="J38:K38"/>
    <mergeCell ref="L38:M38"/>
    <mergeCell ref="J37:K37"/>
    <mergeCell ref="J39:K39"/>
    <mergeCell ref="J24:K24"/>
    <mergeCell ref="J25:K25"/>
    <mergeCell ref="J26:K26"/>
    <mergeCell ref="J27:K27"/>
    <mergeCell ref="J28:K28"/>
    <mergeCell ref="J18:K18"/>
    <mergeCell ref="J19:K19"/>
    <mergeCell ref="J20:K20"/>
    <mergeCell ref="J21:K21"/>
    <mergeCell ref="J23:K23"/>
    <mergeCell ref="J22:K22"/>
    <mergeCell ref="J13:K13"/>
    <mergeCell ref="J14:K14"/>
    <mergeCell ref="J15:K15"/>
    <mergeCell ref="J16:K16"/>
    <mergeCell ref="J17:K17"/>
    <mergeCell ref="C26:C36"/>
    <mergeCell ref="D26:D36"/>
    <mergeCell ref="E26:F36"/>
    <mergeCell ref="J29:K29"/>
    <mergeCell ref="J30:K30"/>
    <mergeCell ref="J31:K31"/>
    <mergeCell ref="J32:K32"/>
    <mergeCell ref="J33:K33"/>
    <mergeCell ref="J34:K34"/>
    <mergeCell ref="J35:K35"/>
  </mergeCells>
  <dataValidations count="44">
    <dataValidation type="list" allowBlank="1" showInputMessage="1" showErrorMessage="1" sqref="D40 J39:J40" xr:uid="{00000000-0002-0000-0000-000000000000}">
      <formula1>"Yes,No"</formula1>
    </dataValidation>
    <dataValidation type="list" allowBlank="1" showInputMessage="1" showErrorMessage="1" sqref="E40" xr:uid="{00000000-0002-0000-0000-000001000000}">
      <formula1>Integrity</formula1>
    </dataValidation>
    <dataValidation type="list" allowBlank="1" showInputMessage="1" showErrorMessage="1" sqref="D39" xr:uid="{00000000-0002-0000-0000-000002000000}">
      <formula1>"Access Code, Account Security, None"</formula1>
    </dataValidation>
    <dataValidation type="list" allowBlank="1" showInputMessage="1" showErrorMessage="1" sqref="L40" xr:uid="{00000000-0002-0000-0000-000003000000}">
      <formula1>"Same Issue,Different Issue"</formula1>
    </dataValidation>
    <dataValidation type="list" allowBlank="1" showInputMessage="1" showErrorMessage="1" sqref="L39" xr:uid="{00000000-0002-0000-0000-000004000000}">
      <formula1>"Valid,Invalid"</formula1>
    </dataValidation>
    <dataValidation type="list" allowBlank="1" showInputMessage="1" showErrorMessage="1" sqref="I2" xr:uid="{00000000-0002-0000-0000-000005000000}">
      <formula1>Sampling</formula1>
    </dataValidation>
    <dataValidation type="list" allowBlank="1" showInputMessage="1" showErrorMessage="1" sqref="L37" xr:uid="{00000000-0002-0000-0000-000006000000}">
      <formula1>"Effortless,Personalized,Transactional,Limited,Struggling"</formula1>
    </dataValidation>
    <dataValidation type="list" allowBlank="1" showInputMessage="1" showErrorMessage="1" sqref="J37" xr:uid="{00000000-0002-0000-0000-000007000000}">
      <formula1>"Top Box, Bottom Box,"</formula1>
    </dataValidation>
    <dataValidation type="list" allowBlank="1" showInputMessage="1" showErrorMessage="1" sqref="J14:J34" xr:uid="{00000000-0002-0000-0000-000008000000}">
      <formula1>Activity</formula1>
    </dataValidation>
    <dataValidation type="list" allowBlank="1" showInputMessage="1" showErrorMessage="1" sqref="E6" xr:uid="{00000000-0002-0000-0000-000009000000}">
      <formula1>Resolution</formula1>
    </dataValidation>
    <dataValidation type="list" allowBlank="1" showInputMessage="1" showErrorMessage="1" sqref="E15" xr:uid="{00000000-0002-0000-0000-00000A000000}">
      <formula1>ResoMain</formula1>
    </dataValidation>
    <dataValidation type="list" allowBlank="1" showInputMessage="1" showErrorMessage="1" sqref="E16" xr:uid="{00000000-0002-0000-0000-00000B000000}">
      <formula1>EducMain</formula1>
    </dataValidation>
    <dataValidation type="list" allowBlank="1" showInputMessage="1" showErrorMessage="1" sqref="E18" xr:uid="{00000000-0002-0000-0000-00000C000000}">
      <formula1>ListenMain</formula1>
    </dataValidation>
    <dataValidation type="list" allowBlank="1" showInputMessage="1" showErrorMessage="1" sqref="E19" xr:uid="{00000000-0002-0000-0000-00000D000000}">
      <formula1>TimeMain</formula1>
    </dataValidation>
    <dataValidation type="list" allowBlank="1" showInputMessage="1" showErrorMessage="1" sqref="E20" xr:uid="{00000000-0002-0000-0000-00000E000000}">
      <formula1>ProbingMain</formula1>
    </dataValidation>
    <dataValidation type="list" allowBlank="1" showInputMessage="1" showErrorMessage="1" sqref="E25" xr:uid="{00000000-0002-0000-0000-00000F000000}">
      <formula1>DiscourseMain</formula1>
    </dataValidation>
    <dataValidation type="list" allowBlank="1" showInputMessage="1" showErrorMessage="1" sqref="E23" xr:uid="{00000000-0002-0000-0000-000010000000}">
      <formula1>FluencyMain</formula1>
    </dataValidation>
    <dataValidation type="list" allowBlank="1" showInputMessage="1" showErrorMessage="1" sqref="E24" xr:uid="{00000000-0002-0000-0000-000011000000}">
      <formula1>WillingnessMain</formula1>
    </dataValidation>
    <dataValidation type="list" allowBlank="1" showInputMessage="1" showErrorMessage="1" sqref="E4" xr:uid="{00000000-0002-0000-0000-000012000000}">
      <formula1>Category</formula1>
    </dataValidation>
    <dataValidation type="list" allowBlank="1" showInputMessage="1" showErrorMessage="1" sqref="C4" xr:uid="{00000000-0002-0000-0000-000013000000}">
      <formula1>Monits</formula1>
    </dataValidation>
    <dataValidation type="list" allowBlank="1" showInputMessage="1" showErrorMessage="1" sqref="C5" xr:uid="{00000000-0002-0000-0000-000014000000}">
      <formula1>Evaluator</formula1>
    </dataValidation>
    <dataValidation type="list" allowBlank="1" showInputMessage="1" showErrorMessage="1" sqref="E8" xr:uid="{00000000-0002-0000-0000-000015000000}">
      <formula1>"HigherEd,LearningStudio"</formula1>
    </dataValidation>
    <dataValidation type="list" allowBlank="1" showInputMessage="1" showErrorMessage="1" sqref="E9" xr:uid="{00000000-0002-0000-0000-000016000000}">
      <formula1>INDIRECT($E$8)</formula1>
    </dataValidation>
    <dataValidation type="list" allowBlank="1" showInputMessage="1" showErrorMessage="1" sqref="C8" xr:uid="{00000000-0002-0000-0000-000017000000}">
      <formula1>"MMND,Standalone,3PL,MyLabsPlus,LearningStudio,Other"</formula1>
    </dataValidation>
    <dataValidation type="list" allowBlank="1" showInputMessage="1" showErrorMessage="1" sqref="I4" xr:uid="{00000000-0002-0000-0000-000018000000}">
      <formula1>"Phone,Chat,Email"</formula1>
    </dataValidation>
    <dataValidation type="list" allowBlank="1" showInputMessage="1" showErrorMessage="1" sqref="L38" xr:uid="{00000000-0002-0000-0000-000019000000}">
      <formula1>"Customer - Controller,Customer - Thinker,Customer - Feeler,Customer - Entertainer"</formula1>
    </dataValidation>
    <dataValidation type="list" allowBlank="1" showInputMessage="1" showErrorMessage="1" sqref="J38" xr:uid="{00000000-0002-0000-0000-00001A000000}">
      <formula1>"Agent - Controller,Agent - Thinker,Agent - Feeler,Agent - Entertainer"</formula1>
    </dataValidation>
    <dataValidation type="list" allowBlank="1" showInputMessage="1" showErrorMessage="1" sqref="E39" xr:uid="{00000000-0002-0000-0000-00001B000000}">
      <formula1>INDIRECT($P$24)</formula1>
    </dataValidation>
    <dataValidation type="list" allowBlank="1" showInputMessage="1" showErrorMessage="1" sqref="M40" xr:uid="{00000000-0002-0000-0000-00001C000000}">
      <formula1>INDIRECT($P$25)</formula1>
    </dataValidation>
    <dataValidation type="list" allowBlank="1" showInputMessage="1" showErrorMessage="1" sqref="E7" xr:uid="{00000000-0002-0000-0000-00001D000000}">
      <formula1>INDIRECT($P$23)</formula1>
    </dataValidation>
    <dataValidation type="list" allowBlank="1" showInputMessage="1" showErrorMessage="1" sqref="E5" xr:uid="{00000000-0002-0000-0000-00001E000000}">
      <formula1>INDIRECT($P$22)</formula1>
    </dataValidation>
    <dataValidation type="list" allowBlank="1" showInputMessage="1" showErrorMessage="1" sqref="F15" xr:uid="{00000000-0002-0000-0000-00001F000000}">
      <formula1>INDIRECT($V$3)</formula1>
    </dataValidation>
    <dataValidation type="list" allowBlank="1" showInputMessage="1" showErrorMessage="1" sqref="F16" xr:uid="{00000000-0002-0000-0000-000020000000}">
      <formula1>INDIRECT($V$4)</formula1>
    </dataValidation>
    <dataValidation type="list" allowBlank="1" showInputMessage="1" showErrorMessage="1" sqref="F19" xr:uid="{00000000-0002-0000-0000-000021000000}">
      <formula1>INDIRECT($V$7)</formula1>
    </dataValidation>
    <dataValidation type="list" allowBlank="1" showInputMessage="1" showErrorMessage="1" sqref="F18" xr:uid="{00000000-0002-0000-0000-000022000000}">
      <formula1>INDIRECT($V$6)</formula1>
    </dataValidation>
    <dataValidation type="list" allowBlank="1" showInputMessage="1" showErrorMessage="1" sqref="F20" xr:uid="{00000000-0002-0000-0000-000023000000}">
      <formula1>INDIRECT($V$8)</formula1>
    </dataValidation>
    <dataValidation type="list" allowBlank="1" showInputMessage="1" showErrorMessage="1" sqref="F25" xr:uid="{00000000-0002-0000-0000-000024000000}">
      <formula1>INDIRECT($V$10)</formula1>
    </dataValidation>
    <dataValidation type="list" allowBlank="1" showInputMessage="1" showErrorMessage="1" sqref="F23" xr:uid="{00000000-0002-0000-0000-000025000000}">
      <formula1>INDIRECT($V$12)</formula1>
    </dataValidation>
    <dataValidation type="list" allowBlank="1" showInputMessage="1" showErrorMessage="1" sqref="F24" xr:uid="{00000000-0002-0000-0000-000026000000}">
      <formula1>INDIRECT($V$13)</formula1>
    </dataValidation>
    <dataValidation type="list" allowBlank="1" showInputMessage="1" showErrorMessage="1" sqref="E21" xr:uid="{00000000-0002-0000-0000-000027000000}">
      <formula1>EasyMain</formula1>
    </dataValidation>
    <dataValidation type="list" allowBlank="1" showInputMessage="1" showErrorMessage="1" sqref="F21" xr:uid="{00000000-0002-0000-0000-000028000000}">
      <formula1>INDIRECT($V$9)</formula1>
    </dataValidation>
    <dataValidation type="list" allowBlank="1" showInputMessage="1" showErrorMessage="1" sqref="J41:K41" xr:uid="{00000000-0002-0000-0000-000029000000}">
      <formula1>"Most Likely, Not Likely"</formula1>
    </dataValidation>
    <dataValidation type="list" allowBlank="1" showInputMessage="1" showErrorMessage="1" sqref="L43:M43" xr:uid="{00000000-0002-0000-0000-00002A000000}">
      <formula1>"Yes,No,Not Vocamus"</formula1>
    </dataValidation>
    <dataValidation type="list" allowBlank="1" showInputMessage="1" showErrorMessage="1" sqref="K45:K47" xr:uid="{00000000-0002-0000-0000-00002B000000}">
      <formula1>"Pass,Fail"</formula1>
    </dataValidation>
  </dataValidations>
  <pageMargins left="0.7" right="0.7" top="0.75" bottom="0.75" header="0.3" footer="0.3"/>
  <pageSetup scale="86" orientation="landscape" r:id="rId1"/>
  <rowBreaks count="1" manualBreakCount="1">
    <brk id="27" max="16383" man="1"/>
  </rowBreaks>
  <colBreaks count="1" manualBreakCount="1">
    <brk id="5" max="1048575" man="1"/>
  </colBreaks>
  <ignoredErrors>
    <ignoredError sqref="D17" formula="1"/>
    <ignoredError sqref="V5 V11" evalError="1"/>
  </ignoredErrors>
  <drawing r:id="rId2"/>
  <legacyDrawing r:id="rId3"/>
  <controls>
    <mc:AlternateContent xmlns:mc="http://schemas.openxmlformats.org/markup-compatibility/2006">
      <mc:Choice Requires="x14">
        <control shapeId="6261" r:id="rId4" name="RandomizerButton">
          <controlPr defaultSize="0" autoLine="0" r:id="rId5">
            <anchor moveWithCells="1">
              <from>
                <xdr:col>9</xdr:col>
                <xdr:colOff>57150</xdr:colOff>
                <xdr:row>1</xdr:row>
                <xdr:rowOff>190500</xdr:rowOff>
              </from>
              <to>
                <xdr:col>9</xdr:col>
                <xdr:colOff>828675</xdr:colOff>
                <xdr:row>3</xdr:row>
                <xdr:rowOff>38100</xdr:rowOff>
              </to>
            </anchor>
          </controlPr>
        </control>
      </mc:Choice>
      <mc:Fallback>
        <control shapeId="6261" r:id="rId4" name="RandomizerButton"/>
      </mc:Fallback>
    </mc:AlternateContent>
    <mc:AlternateContent xmlns:mc="http://schemas.openxmlformats.org/markup-compatibility/2006">
      <mc:Choice Requires="x14">
        <control shapeId="6227" r:id="rId6" name="SummaryLabel">
          <controlPr defaultSize="0" autoLine="0" r:id="rId7">
            <anchor moveWithCells="1" sizeWithCells="1">
              <from>
                <xdr:col>2</xdr:col>
                <xdr:colOff>9525</xdr:colOff>
                <xdr:row>41</xdr:row>
                <xdr:rowOff>0</xdr:rowOff>
              </from>
              <to>
                <xdr:col>2</xdr:col>
                <xdr:colOff>1895475</xdr:colOff>
                <xdr:row>41</xdr:row>
                <xdr:rowOff>190500</xdr:rowOff>
              </to>
            </anchor>
          </controlPr>
        </control>
      </mc:Choice>
      <mc:Fallback>
        <control shapeId="6227" r:id="rId6" name="SummaryLabel"/>
      </mc:Fallback>
    </mc:AlternateContent>
    <mc:AlternateContent xmlns:mc="http://schemas.openxmlformats.org/markup-compatibility/2006">
      <mc:Choice Requires="x14">
        <control shapeId="6226" r:id="rId8" name="SummaryTextBox">
          <controlPr locked="0" defaultSize="0" autoLine="0" r:id="rId9">
            <anchor moveWithCells="1" sizeWithCells="1">
              <from>
                <xdr:col>2</xdr:col>
                <xdr:colOff>9525</xdr:colOff>
                <xdr:row>41</xdr:row>
                <xdr:rowOff>190500</xdr:rowOff>
              </from>
              <to>
                <xdr:col>2</xdr:col>
                <xdr:colOff>2819400</xdr:colOff>
                <xdr:row>47</xdr:row>
                <xdr:rowOff>95250</xdr:rowOff>
              </to>
            </anchor>
          </controlPr>
        </control>
      </mc:Choice>
      <mc:Fallback>
        <control shapeId="6226" r:id="rId8" name="SummaryTextBox"/>
      </mc:Fallback>
    </mc:AlternateContent>
    <mc:AlternateContent xmlns:mc="http://schemas.openxmlformats.org/markup-compatibility/2006">
      <mc:Choice Requires="x14">
        <control shapeId="6225" r:id="rId10" name="OpportinitiesLabel">
          <controlPr defaultSize="0" autoLine="0" r:id="rId11">
            <anchor moveWithCells="1" sizeWithCells="1">
              <from>
                <xdr:col>5</xdr:col>
                <xdr:colOff>209550</xdr:colOff>
                <xdr:row>41</xdr:row>
                <xdr:rowOff>0</xdr:rowOff>
              </from>
              <to>
                <xdr:col>5</xdr:col>
                <xdr:colOff>2085975</xdr:colOff>
                <xdr:row>41</xdr:row>
                <xdr:rowOff>190500</xdr:rowOff>
              </to>
            </anchor>
          </controlPr>
        </control>
      </mc:Choice>
      <mc:Fallback>
        <control shapeId="6225" r:id="rId10" name="OpportinitiesLabel"/>
      </mc:Fallback>
    </mc:AlternateContent>
    <mc:AlternateContent xmlns:mc="http://schemas.openxmlformats.org/markup-compatibility/2006">
      <mc:Choice Requires="x14">
        <control shapeId="6224" r:id="rId12" name="OpportinitiesTextBox">
          <controlPr defaultSize="0" autoLine="0" autoPict="0" r:id="rId13">
            <anchor moveWithCells="1" sizeWithCells="1">
              <from>
                <xdr:col>5</xdr:col>
                <xdr:colOff>209550</xdr:colOff>
                <xdr:row>41</xdr:row>
                <xdr:rowOff>190500</xdr:rowOff>
              </from>
              <to>
                <xdr:col>8</xdr:col>
                <xdr:colOff>809625</xdr:colOff>
                <xdr:row>47</xdr:row>
                <xdr:rowOff>95250</xdr:rowOff>
              </to>
            </anchor>
          </controlPr>
        </control>
      </mc:Choice>
      <mc:Fallback>
        <control shapeId="6224" r:id="rId12" name="OpportinitiesTextBox"/>
      </mc:Fallback>
    </mc:AlternateContent>
    <mc:AlternateContent xmlns:mc="http://schemas.openxmlformats.org/markup-compatibility/2006">
      <mc:Choice Requires="x14">
        <control shapeId="6223" r:id="rId14" name="StrengthsLabel">
          <controlPr defaultSize="0" autoLine="0" r:id="rId15">
            <anchor moveWithCells="1" sizeWithCells="1">
              <from>
                <xdr:col>2</xdr:col>
                <xdr:colOff>2914650</xdr:colOff>
                <xdr:row>40</xdr:row>
                <xdr:rowOff>209550</xdr:rowOff>
              </from>
              <to>
                <xdr:col>4</xdr:col>
                <xdr:colOff>1123950</xdr:colOff>
                <xdr:row>41</xdr:row>
                <xdr:rowOff>190500</xdr:rowOff>
              </to>
            </anchor>
          </controlPr>
        </control>
      </mc:Choice>
      <mc:Fallback>
        <control shapeId="6223" r:id="rId14" name="StrengthsLabel"/>
      </mc:Fallback>
    </mc:AlternateContent>
    <mc:AlternateContent xmlns:mc="http://schemas.openxmlformats.org/markup-compatibility/2006">
      <mc:Choice Requires="x14">
        <control shapeId="6222" r:id="rId16" name="StrengthsTextBox">
          <controlPr defaultSize="0" autoLine="0" r:id="rId17">
            <anchor moveWithCells="1" sizeWithCells="1">
              <from>
                <xdr:col>2</xdr:col>
                <xdr:colOff>2914650</xdr:colOff>
                <xdr:row>41</xdr:row>
                <xdr:rowOff>190500</xdr:rowOff>
              </from>
              <to>
                <xdr:col>5</xdr:col>
                <xdr:colOff>123825</xdr:colOff>
                <xdr:row>47</xdr:row>
                <xdr:rowOff>95250</xdr:rowOff>
              </to>
            </anchor>
          </controlPr>
        </control>
      </mc:Choice>
      <mc:Fallback>
        <control shapeId="6222" r:id="rId16" name="StrengthsTextBox"/>
      </mc:Fallback>
    </mc:AlternateContent>
    <mc:AlternateContent xmlns:mc="http://schemas.openxmlformats.org/markup-compatibility/2006">
      <mc:Choice Requires="x14">
        <control shapeId="6162" r:id="rId18" name="SaveButton">
          <controlPr defaultSize="0" autoFill="0" autoLine="0" autoPict="0" r:id="rId19">
            <anchor moveWithCells="1">
              <from>
                <xdr:col>5</xdr:col>
                <xdr:colOff>209550</xdr:colOff>
                <xdr:row>2</xdr:row>
                <xdr:rowOff>57150</xdr:rowOff>
              </from>
              <to>
                <xdr:col>5</xdr:col>
                <xdr:colOff>1257300</xdr:colOff>
                <xdr:row>4</xdr:row>
                <xdr:rowOff>114300</xdr:rowOff>
              </to>
            </anchor>
          </controlPr>
        </control>
      </mc:Choice>
      <mc:Fallback>
        <control shapeId="6162" r:id="rId18" name="SaveButton"/>
      </mc:Fallback>
    </mc:AlternateContent>
    <mc:AlternateContent xmlns:mc="http://schemas.openxmlformats.org/markup-compatibility/2006">
      <mc:Choice Requires="x14">
        <control shapeId="6164" r:id="rId20" name="UpdateButton">
          <controlPr defaultSize="0" autoFill="0" autoLine="0" autoPict="0" r:id="rId21">
            <anchor moveWithCells="1">
              <from>
                <xdr:col>5</xdr:col>
                <xdr:colOff>209550</xdr:colOff>
                <xdr:row>4</xdr:row>
                <xdr:rowOff>180975</xdr:rowOff>
              </from>
              <to>
                <xdr:col>5</xdr:col>
                <xdr:colOff>1257300</xdr:colOff>
                <xdr:row>7</xdr:row>
                <xdr:rowOff>28575</xdr:rowOff>
              </to>
            </anchor>
          </controlPr>
        </control>
      </mc:Choice>
      <mc:Fallback>
        <control shapeId="6164" r:id="rId20" name="UpdateButton"/>
      </mc:Fallback>
    </mc:AlternateContent>
    <mc:AlternateContent xmlns:mc="http://schemas.openxmlformats.org/markup-compatibility/2006">
      <mc:Choice Requires="x14">
        <control shapeId="6165" r:id="rId22" name="ClearButton">
          <controlPr defaultSize="0" autoFill="0" autoLine="0" autoPict="0" r:id="rId23">
            <anchor moveWithCells="1">
              <from>
                <xdr:col>5</xdr:col>
                <xdr:colOff>209550</xdr:colOff>
                <xdr:row>7</xdr:row>
                <xdr:rowOff>95250</xdr:rowOff>
              </from>
              <to>
                <xdr:col>5</xdr:col>
                <xdr:colOff>1257300</xdr:colOff>
                <xdr:row>9</xdr:row>
                <xdr:rowOff>152400</xdr:rowOff>
              </to>
            </anchor>
          </controlPr>
        </control>
      </mc:Choice>
      <mc:Fallback>
        <control shapeId="6165" r:id="rId22" name="ClearButton"/>
      </mc:Fallback>
    </mc:AlternateContent>
    <mc:AlternateContent xmlns:mc="http://schemas.openxmlformats.org/markup-compatibility/2006">
      <mc:Choice Requires="x14">
        <control shapeId="6170" r:id="rId24" name="ScrollBar1">
          <controlPr defaultSize="0" autoLine="0" linkedCell="$C$10" r:id="rId25">
            <anchor moveWithCells="1">
              <from>
                <xdr:col>2</xdr:col>
                <xdr:colOff>0</xdr:colOff>
                <xdr:row>10</xdr:row>
                <xdr:rowOff>76200</xdr:rowOff>
              </from>
              <to>
                <xdr:col>2</xdr:col>
                <xdr:colOff>2495550</xdr:colOff>
                <xdr:row>11</xdr:row>
                <xdr:rowOff>104775</xdr:rowOff>
              </to>
            </anchor>
          </controlPr>
        </control>
      </mc:Choice>
      <mc:Fallback>
        <control shapeId="6170" r:id="rId24" name="ScrollBar1"/>
      </mc:Fallback>
    </mc:AlternateContent>
    <mc:AlternateContent xmlns:mc="http://schemas.openxmlformats.org/markup-compatibility/2006">
      <mc:Choice Requires="x14">
        <control shapeId="6171" r:id="rId26" name="RetrieveButton">
          <controlPr defaultSize="0" autoFill="0" autoLine="0" autoPict="0" r:id="rId27">
            <anchor moveWithCells="1">
              <from>
                <xdr:col>3</xdr:col>
                <xdr:colOff>228600</xdr:colOff>
                <xdr:row>9</xdr:row>
                <xdr:rowOff>114300</xdr:rowOff>
              </from>
              <to>
                <xdr:col>4</xdr:col>
                <xdr:colOff>190500</xdr:colOff>
                <xdr:row>11</xdr:row>
                <xdr:rowOff>66675</xdr:rowOff>
              </to>
            </anchor>
          </controlPr>
        </control>
      </mc:Choice>
      <mc:Fallback>
        <control shapeId="6171" r:id="rId26" name="RetrieveButton"/>
      </mc:Fallback>
    </mc:AlternateContent>
    <mc:AlternateContent xmlns:mc="http://schemas.openxmlformats.org/markup-compatibility/2006">
      <mc:Choice Requires="x14">
        <control shapeId="6245" r:id="rId28" name="ContactUsButton">
          <controlPr defaultSize="0" autoLine="0" autoPict="0" r:id="rId29">
            <anchor moveWithCells="1">
              <from>
                <xdr:col>2</xdr:col>
                <xdr:colOff>28575</xdr:colOff>
                <xdr:row>0</xdr:row>
                <xdr:rowOff>85725</xdr:rowOff>
              </from>
              <to>
                <xdr:col>2</xdr:col>
                <xdr:colOff>1171575</xdr:colOff>
                <xdr:row>1</xdr:row>
                <xdr:rowOff>180975</xdr:rowOff>
              </to>
            </anchor>
          </controlPr>
        </control>
      </mc:Choice>
      <mc:Fallback>
        <control shapeId="6245" r:id="rId28" name="ContactUsButton"/>
      </mc:Fallback>
    </mc:AlternateContent>
    <mc:AlternateContent xmlns:mc="http://schemas.openxmlformats.org/markup-compatibility/2006">
      <mc:Choice Requires="x14">
        <control shapeId="6174" r:id="rId30" name="Check Box 30">
          <controlPr locked="0" defaultSize="0" autoFill="0" autoLine="0" autoPict="0">
            <anchor moveWithCells="1">
              <from>
                <xdr:col>4</xdr:col>
                <xdr:colOff>66675</xdr:colOff>
                <xdr:row>25</xdr:row>
                <xdr:rowOff>38100</xdr:rowOff>
              </from>
              <to>
                <xdr:col>5</xdr:col>
                <xdr:colOff>1343025</xdr:colOff>
                <xdr:row>26</xdr:row>
                <xdr:rowOff>47625</xdr:rowOff>
              </to>
            </anchor>
          </controlPr>
        </control>
      </mc:Choice>
    </mc:AlternateContent>
    <mc:AlternateContent xmlns:mc="http://schemas.openxmlformats.org/markup-compatibility/2006">
      <mc:Choice Requires="x14">
        <control shapeId="6180" r:id="rId31" name="Check Box 36">
          <controlPr locked="0" defaultSize="0" autoFill="0" autoLine="0" autoPict="0">
            <anchor moveWithCells="1">
              <from>
                <xdr:col>4</xdr:col>
                <xdr:colOff>66675</xdr:colOff>
                <xdr:row>25</xdr:row>
                <xdr:rowOff>180975</xdr:rowOff>
              </from>
              <to>
                <xdr:col>5</xdr:col>
                <xdr:colOff>1343025</xdr:colOff>
                <xdr:row>27</xdr:row>
                <xdr:rowOff>38100</xdr:rowOff>
              </to>
            </anchor>
          </controlPr>
        </control>
      </mc:Choice>
    </mc:AlternateContent>
    <mc:AlternateContent xmlns:mc="http://schemas.openxmlformats.org/markup-compatibility/2006">
      <mc:Choice Requires="x14">
        <control shapeId="6181" r:id="rId32" name="Check Box 37">
          <controlPr locked="0" defaultSize="0" autoFill="0" autoLine="0" autoPict="0">
            <anchor moveWithCells="1">
              <from>
                <xdr:col>4</xdr:col>
                <xdr:colOff>66675</xdr:colOff>
                <xdr:row>26</xdr:row>
                <xdr:rowOff>152400</xdr:rowOff>
              </from>
              <to>
                <xdr:col>5</xdr:col>
                <xdr:colOff>1343025</xdr:colOff>
                <xdr:row>27</xdr:row>
                <xdr:rowOff>152400</xdr:rowOff>
              </to>
            </anchor>
          </controlPr>
        </control>
      </mc:Choice>
    </mc:AlternateContent>
    <mc:AlternateContent xmlns:mc="http://schemas.openxmlformats.org/markup-compatibility/2006">
      <mc:Choice Requires="x14">
        <control shapeId="6182" r:id="rId33" name="Check Box 38">
          <controlPr locked="0" defaultSize="0" autoFill="0" autoLine="0" autoPict="0">
            <anchor moveWithCells="1">
              <from>
                <xdr:col>4</xdr:col>
                <xdr:colOff>66675</xdr:colOff>
                <xdr:row>27</xdr:row>
                <xdr:rowOff>123825</xdr:rowOff>
              </from>
              <to>
                <xdr:col>6</xdr:col>
                <xdr:colOff>9525</xdr:colOff>
                <xdr:row>28</xdr:row>
                <xdr:rowOff>142875</xdr:rowOff>
              </to>
            </anchor>
          </controlPr>
        </control>
      </mc:Choice>
    </mc:AlternateContent>
    <mc:AlternateContent xmlns:mc="http://schemas.openxmlformats.org/markup-compatibility/2006">
      <mc:Choice Requires="x14">
        <control shapeId="6183" r:id="rId34" name="Check Box 39">
          <controlPr locked="0" defaultSize="0" autoFill="0" autoLine="0" autoPict="0">
            <anchor moveWithCells="1">
              <from>
                <xdr:col>4</xdr:col>
                <xdr:colOff>66675</xdr:colOff>
                <xdr:row>28</xdr:row>
                <xdr:rowOff>95250</xdr:rowOff>
              </from>
              <to>
                <xdr:col>5</xdr:col>
                <xdr:colOff>1343025</xdr:colOff>
                <xdr:row>29</xdr:row>
                <xdr:rowOff>114300</xdr:rowOff>
              </to>
            </anchor>
          </controlPr>
        </control>
      </mc:Choice>
    </mc:AlternateContent>
    <mc:AlternateContent xmlns:mc="http://schemas.openxmlformats.org/markup-compatibility/2006">
      <mc:Choice Requires="x14">
        <control shapeId="6184" r:id="rId35" name="Check Box 40">
          <controlPr locked="0" defaultSize="0" autoFill="0" autoLine="0" autoPict="0">
            <anchor moveWithCells="1">
              <from>
                <xdr:col>4</xdr:col>
                <xdr:colOff>66675</xdr:colOff>
                <xdr:row>29</xdr:row>
                <xdr:rowOff>66675</xdr:rowOff>
              </from>
              <to>
                <xdr:col>5</xdr:col>
                <xdr:colOff>2038350</xdr:colOff>
                <xdr:row>30</xdr:row>
                <xdr:rowOff>85725</xdr:rowOff>
              </to>
            </anchor>
          </controlPr>
        </control>
      </mc:Choice>
    </mc:AlternateContent>
    <mc:AlternateContent xmlns:mc="http://schemas.openxmlformats.org/markup-compatibility/2006">
      <mc:Choice Requires="x14">
        <control shapeId="6186" r:id="rId36" name="Check Box 42">
          <controlPr locked="0" defaultSize="0" autoFill="0" autoLine="0" autoPict="0">
            <anchor moveWithCells="1">
              <from>
                <xdr:col>4</xdr:col>
                <xdr:colOff>66675</xdr:colOff>
                <xdr:row>31</xdr:row>
                <xdr:rowOff>0</xdr:rowOff>
              </from>
              <to>
                <xdr:col>5</xdr:col>
                <xdr:colOff>1962150</xdr:colOff>
                <xdr:row>32</xdr:row>
                <xdr:rowOff>38100</xdr:rowOff>
              </to>
            </anchor>
          </controlPr>
        </control>
      </mc:Choice>
    </mc:AlternateContent>
    <mc:AlternateContent xmlns:mc="http://schemas.openxmlformats.org/markup-compatibility/2006">
      <mc:Choice Requires="x14">
        <control shapeId="6187" r:id="rId37" name="Check Box 43">
          <controlPr locked="0" defaultSize="0" autoFill="0" autoLine="0" autoPict="0">
            <anchor moveWithCells="1">
              <from>
                <xdr:col>4</xdr:col>
                <xdr:colOff>66675</xdr:colOff>
                <xdr:row>31</xdr:row>
                <xdr:rowOff>161925</xdr:rowOff>
              </from>
              <to>
                <xdr:col>5</xdr:col>
                <xdr:colOff>1343025</xdr:colOff>
                <xdr:row>33</xdr:row>
                <xdr:rowOff>0</xdr:rowOff>
              </to>
            </anchor>
          </controlPr>
        </control>
      </mc:Choice>
    </mc:AlternateContent>
    <mc:AlternateContent xmlns:mc="http://schemas.openxmlformats.org/markup-compatibility/2006">
      <mc:Choice Requires="x14">
        <control shapeId="6188" r:id="rId38" name="Check Box 44">
          <controlPr locked="0" defaultSize="0" autoFill="0" autoLine="0" autoPict="0">
            <anchor moveWithCells="1">
              <from>
                <xdr:col>4</xdr:col>
                <xdr:colOff>66675</xdr:colOff>
                <xdr:row>32</xdr:row>
                <xdr:rowOff>142875</xdr:rowOff>
              </from>
              <to>
                <xdr:col>5</xdr:col>
                <xdr:colOff>1343025</xdr:colOff>
                <xdr:row>33</xdr:row>
                <xdr:rowOff>171450</xdr:rowOff>
              </to>
            </anchor>
          </controlPr>
        </control>
      </mc:Choice>
    </mc:AlternateContent>
    <mc:AlternateContent xmlns:mc="http://schemas.openxmlformats.org/markup-compatibility/2006">
      <mc:Choice Requires="x14">
        <control shapeId="6195" r:id="rId39" name="Check Box 51">
          <controlPr locked="0" defaultSize="0" autoFill="0" autoLine="0" autoPict="0">
            <anchor moveWithCells="1">
              <from>
                <xdr:col>4</xdr:col>
                <xdr:colOff>66675</xdr:colOff>
                <xdr:row>30</xdr:row>
                <xdr:rowOff>38100</xdr:rowOff>
              </from>
              <to>
                <xdr:col>5</xdr:col>
                <xdr:colOff>2038350</xdr:colOff>
                <xdr:row>31</xdr:row>
                <xdr:rowOff>57150</xdr:rowOff>
              </to>
            </anchor>
          </controlPr>
        </control>
      </mc:Choice>
    </mc:AlternateContent>
    <mc:AlternateContent xmlns:mc="http://schemas.openxmlformats.org/markup-compatibility/2006">
      <mc:Choice Requires="x14">
        <control shapeId="6228" r:id="rId40" name="Check Box 84">
          <controlPr defaultSize="0" autoFill="0" autoLine="0" autoPict="0">
            <anchor moveWithCells="1">
              <from>
                <xdr:col>8</xdr:col>
                <xdr:colOff>19050</xdr:colOff>
                <xdr:row>34</xdr:row>
                <xdr:rowOff>85725</xdr:rowOff>
              </from>
              <to>
                <xdr:col>9</xdr:col>
                <xdr:colOff>419100</xdr:colOff>
                <xdr:row>35</xdr:row>
                <xdr:rowOff>152400</xdr:rowOff>
              </to>
            </anchor>
          </controlPr>
        </control>
      </mc:Choice>
    </mc:AlternateContent>
    <mc:AlternateContent xmlns:mc="http://schemas.openxmlformats.org/markup-compatibility/2006">
      <mc:Choice Requires="x14">
        <control shapeId="6251" r:id="rId41" name="Check Box 107">
          <controlPr locked="0" defaultSize="0" autoFill="0" autoLine="0" autoPict="0">
            <anchor moveWithCells="1">
              <from>
                <xdr:col>4</xdr:col>
                <xdr:colOff>66675</xdr:colOff>
                <xdr:row>33</xdr:row>
                <xdr:rowOff>171450</xdr:rowOff>
              </from>
              <to>
                <xdr:col>5</xdr:col>
                <xdr:colOff>1809750</xdr:colOff>
                <xdr:row>35</xdr:row>
                <xdr:rowOff>180975</xdr:rowOff>
              </to>
            </anchor>
          </controlPr>
        </control>
      </mc:Choice>
    </mc:AlternateContent>
    <mc:AlternateContent xmlns:mc="http://schemas.openxmlformats.org/markup-compatibility/2006">
      <mc:Choice Requires="x14">
        <control shapeId="6254" r:id="rId42" name="Group Box 110">
          <controlPr defaultSize="0" autoFill="0" autoPict="0">
            <anchor moveWithCells="1">
              <from>
                <xdr:col>4</xdr:col>
                <xdr:colOff>47625</xdr:colOff>
                <xdr:row>34</xdr:row>
                <xdr:rowOff>28575</xdr:rowOff>
              </from>
              <to>
                <xdr:col>5</xdr:col>
                <xdr:colOff>1809750</xdr:colOff>
                <xdr:row>35</xdr:row>
                <xdr:rowOff>114300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249977111117893"/>
  </sheetPr>
  <dimension ref="A1:GH299"/>
  <sheetViews>
    <sheetView showGridLines="0" workbookViewId="0">
      <selection activeCell="C6" sqref="C6"/>
    </sheetView>
  </sheetViews>
  <sheetFormatPr defaultRowHeight="15"/>
  <cols>
    <col min="1" max="1" width="8.85546875" style="1" customWidth="1"/>
    <col min="2" max="2" width="9.140625" style="1" bestFit="1" customWidth="1"/>
    <col min="3" max="3" width="23.140625" style="1" bestFit="1" customWidth="1"/>
    <col min="4" max="4" width="12" style="1" customWidth="1"/>
    <col min="5" max="6" width="10.42578125" style="1" bestFit="1" customWidth="1"/>
    <col min="7" max="7" width="10.42578125" style="1" customWidth="1"/>
    <col min="8" max="8" width="12.28515625" style="1" bestFit="1" customWidth="1"/>
    <col min="9" max="9" width="25" style="1" bestFit="1" customWidth="1"/>
    <col min="10" max="10" width="13.42578125" style="1" bestFit="1" customWidth="1"/>
    <col min="11" max="11" width="10.42578125" style="1" customWidth="1"/>
    <col min="12" max="12" width="19.7109375" style="1" bestFit="1" customWidth="1"/>
    <col min="13" max="13" width="17.7109375" style="1" customWidth="1"/>
    <col min="14" max="15" width="10.42578125" style="1" customWidth="1"/>
    <col min="16" max="16" width="11" style="1" bestFit="1" customWidth="1"/>
    <col min="17" max="17" width="9.140625" style="24"/>
    <col min="18" max="18" width="9.140625" style="1"/>
    <col min="19" max="19" width="12.7109375" style="1" bestFit="1" customWidth="1"/>
    <col min="20" max="20" width="12.7109375" style="1" customWidth="1"/>
    <col min="21" max="21" width="9.140625" style="1"/>
    <col min="22" max="22" width="12.140625" style="1" bestFit="1" customWidth="1"/>
    <col min="23" max="23" width="10.5703125" style="1" bestFit="1" customWidth="1"/>
    <col min="24" max="24" width="14" style="1" bestFit="1" customWidth="1"/>
    <col min="25" max="26" width="14" style="1" customWidth="1"/>
    <col min="27" max="27" width="10.42578125" style="1" bestFit="1" customWidth="1"/>
    <col min="28" max="30" width="9.140625" style="1"/>
    <col min="31" max="31" width="13.42578125" style="1" bestFit="1" customWidth="1"/>
    <col min="32" max="32" width="13.7109375" style="1" bestFit="1" customWidth="1"/>
    <col min="33" max="33" width="9.5703125" style="1" bestFit="1" customWidth="1"/>
    <col min="34" max="34" width="10.85546875" style="1" bestFit="1" customWidth="1"/>
    <col min="35" max="35" width="11.42578125" style="1" bestFit="1" customWidth="1"/>
    <col min="36" max="36" width="9.140625" style="25"/>
    <col min="37" max="37" width="13.42578125" style="1" bestFit="1" customWidth="1"/>
    <col min="38" max="38" width="11.42578125" style="1" bestFit="1" customWidth="1"/>
    <col min="39" max="39" width="9" style="1" customWidth="1"/>
    <col min="40" max="40" width="13.5703125" style="1" customWidth="1"/>
    <col min="41" max="41" width="16.28515625" style="1" customWidth="1"/>
    <col min="42" max="43" width="11.140625" style="1" customWidth="1"/>
    <col min="44" max="44" width="10.7109375" style="1" customWidth="1"/>
    <col min="45" max="45" width="15.28515625" style="1" customWidth="1"/>
    <col min="46" max="46" width="21.7109375" style="1" customWidth="1"/>
    <col min="47" max="47" width="20.42578125" style="1" customWidth="1"/>
    <col min="48" max="48" width="16.7109375" style="1" customWidth="1"/>
    <col min="49" max="49" width="16.5703125" style="1" customWidth="1"/>
    <col min="50" max="50" width="19.7109375" style="1" customWidth="1"/>
    <col min="51" max="51" width="18" style="1" customWidth="1"/>
    <col min="52" max="52" width="14.85546875" style="1" customWidth="1"/>
    <col min="53" max="63" width="15.28515625" style="1" customWidth="1"/>
    <col min="64" max="72" width="17.7109375" style="1" customWidth="1"/>
    <col min="73" max="73" width="17.85546875" style="1" customWidth="1"/>
    <col min="74" max="80" width="15.28515625" style="1" customWidth="1"/>
    <col min="81" max="81" width="17.85546875" style="1" customWidth="1"/>
    <col min="82" max="168" width="15.28515625" style="1" customWidth="1"/>
    <col min="169" max="186" width="9.140625" style="1"/>
    <col min="187" max="187" width="10.140625" style="1" bestFit="1" customWidth="1"/>
    <col min="188" max="16384" width="9.140625" style="1"/>
  </cols>
  <sheetData>
    <row r="1" spans="1:190" s="21" customFormat="1" ht="15.75" customHeight="1" thickBot="1">
      <c r="A1" s="14"/>
      <c r="B1" s="69" t="s">
        <v>1579</v>
      </c>
      <c r="C1" s="69"/>
      <c r="D1" s="69"/>
      <c r="E1" s="69"/>
      <c r="F1" s="69"/>
      <c r="G1" s="69"/>
      <c r="H1" s="70"/>
      <c r="I1" s="71"/>
      <c r="J1" s="71" t="s">
        <v>2454</v>
      </c>
      <c r="K1" s="71"/>
      <c r="L1" s="71"/>
      <c r="M1" s="71"/>
      <c r="N1" s="71"/>
      <c r="O1" s="71"/>
      <c r="P1" s="71"/>
      <c r="Q1" s="15"/>
      <c r="R1" s="15"/>
      <c r="S1" s="15"/>
      <c r="T1" s="15"/>
      <c r="U1" s="15"/>
      <c r="V1" s="15"/>
      <c r="W1" s="15"/>
      <c r="X1" s="15"/>
      <c r="Y1" s="15"/>
      <c r="Z1" s="15"/>
      <c r="AA1" s="15"/>
      <c r="AB1" s="15"/>
      <c r="AC1" s="15"/>
      <c r="AD1" s="72"/>
      <c r="AE1" s="72"/>
      <c r="AF1" s="16" t="s">
        <v>1580</v>
      </c>
      <c r="AG1" s="17"/>
      <c r="AH1" s="17"/>
      <c r="AI1" s="17"/>
      <c r="AJ1" s="73"/>
      <c r="AK1" s="18" t="s">
        <v>1581</v>
      </c>
      <c r="AL1" s="19"/>
      <c r="AM1" s="19"/>
      <c r="AN1" s="19"/>
      <c r="AO1" s="19"/>
      <c r="AP1" s="19"/>
      <c r="AQ1" s="19"/>
      <c r="AR1" s="19"/>
      <c r="AS1" s="19"/>
      <c r="AT1" s="113" t="s">
        <v>1627</v>
      </c>
      <c r="AU1" s="20"/>
      <c r="AV1" s="20"/>
      <c r="AW1" s="20"/>
      <c r="AX1" s="20"/>
      <c r="AY1" s="20"/>
      <c r="AZ1" s="20"/>
      <c r="BA1" s="20"/>
      <c r="BB1" s="20"/>
      <c r="BC1" s="114" t="s">
        <v>1628</v>
      </c>
      <c r="BD1" s="74"/>
      <c r="BE1" s="74"/>
      <c r="BF1" s="74"/>
      <c r="BG1" s="74"/>
      <c r="BH1" s="74"/>
      <c r="BI1" s="74"/>
      <c r="BJ1" s="74"/>
      <c r="BK1" s="74"/>
      <c r="BL1" s="78"/>
      <c r="BM1" s="78" t="s">
        <v>2461</v>
      </c>
      <c r="BN1" s="78"/>
      <c r="BO1" s="78"/>
      <c r="BP1" s="78"/>
      <c r="BQ1" s="78"/>
      <c r="BR1" s="78"/>
      <c r="BS1" s="78"/>
      <c r="BT1" s="78"/>
      <c r="BU1" s="105"/>
      <c r="BV1" s="110" t="s">
        <v>1582</v>
      </c>
      <c r="BW1" s="106"/>
      <c r="BX1" s="106"/>
      <c r="BY1" s="106"/>
      <c r="BZ1" s="106"/>
      <c r="CA1" s="106"/>
      <c r="CB1" s="106"/>
      <c r="CC1" s="107"/>
      <c r="CD1" s="109" t="s">
        <v>1583</v>
      </c>
      <c r="CE1" s="75"/>
      <c r="CF1" s="75"/>
      <c r="CG1" s="75"/>
      <c r="CH1" s="75"/>
      <c r="CI1" s="75"/>
      <c r="CJ1" s="108"/>
      <c r="CK1" s="100"/>
      <c r="CL1" s="101" t="s">
        <v>1689</v>
      </c>
      <c r="CM1" s="100"/>
      <c r="CN1" s="100"/>
      <c r="CO1" s="100"/>
      <c r="CP1" s="100"/>
      <c r="CQ1" s="100"/>
      <c r="CR1" s="100"/>
      <c r="CS1" s="100"/>
      <c r="CT1" s="100"/>
      <c r="CU1" s="100"/>
      <c r="CV1" s="100"/>
      <c r="CW1" s="100"/>
      <c r="CX1" s="100"/>
      <c r="CY1" s="100"/>
      <c r="CZ1" s="100"/>
      <c r="DA1" s="100"/>
      <c r="DB1" s="100"/>
      <c r="DC1" s="100"/>
      <c r="DD1" s="100"/>
      <c r="DE1" s="102"/>
      <c r="DF1" s="101" t="s">
        <v>1730</v>
      </c>
      <c r="DG1" s="100"/>
      <c r="DH1" s="100"/>
      <c r="DI1" s="100"/>
      <c r="DJ1" s="100"/>
      <c r="DK1" s="100"/>
      <c r="DL1" s="100"/>
      <c r="DM1" s="100"/>
      <c r="DN1" s="100"/>
      <c r="DO1" s="100"/>
      <c r="DP1" s="100"/>
      <c r="DQ1" s="100"/>
      <c r="DR1" s="100"/>
      <c r="DS1" s="100"/>
      <c r="DT1" s="100"/>
      <c r="DU1" s="100"/>
      <c r="DV1" s="100"/>
      <c r="DW1" s="100"/>
      <c r="DX1" s="100"/>
      <c r="DY1" s="103"/>
      <c r="DZ1" s="104" t="s">
        <v>1771</v>
      </c>
      <c r="EA1" s="104"/>
      <c r="EB1" s="104"/>
      <c r="EC1" s="104"/>
      <c r="ED1" s="104"/>
      <c r="EE1" s="104"/>
      <c r="EF1" s="104"/>
      <c r="EG1" s="104"/>
      <c r="EH1" s="104"/>
      <c r="EI1" s="104"/>
      <c r="EJ1" s="104"/>
      <c r="EK1" s="104"/>
      <c r="EL1" s="104"/>
      <c r="EM1" s="104"/>
      <c r="EN1" s="104"/>
      <c r="EO1" s="104"/>
      <c r="EP1" s="104"/>
      <c r="EQ1" s="104"/>
      <c r="ER1" s="104"/>
      <c r="ES1" s="103"/>
      <c r="ET1" s="104" t="s">
        <v>1772</v>
      </c>
      <c r="EU1" s="104"/>
      <c r="EV1" s="104"/>
      <c r="EW1" s="104"/>
      <c r="EX1" s="104"/>
      <c r="EY1" s="104"/>
      <c r="EZ1" s="104"/>
      <c r="FA1" s="104"/>
      <c r="FB1" s="104"/>
      <c r="FC1" s="104"/>
      <c r="FD1" s="104"/>
      <c r="FE1" s="104"/>
      <c r="FF1" s="104"/>
      <c r="FG1" s="104"/>
      <c r="FH1" s="104"/>
      <c r="FI1" s="104"/>
      <c r="FJ1" s="104"/>
      <c r="FK1" s="104"/>
      <c r="FL1" s="174"/>
      <c r="FM1" s="17"/>
      <c r="FN1" s="16" t="s">
        <v>2463</v>
      </c>
      <c r="FO1" s="17"/>
      <c r="FP1" s="17"/>
      <c r="FQ1" s="17"/>
      <c r="FR1" s="17"/>
      <c r="FS1" s="17"/>
      <c r="FT1" s="17"/>
      <c r="FU1" s="17"/>
      <c r="FV1" s="17"/>
      <c r="FW1" s="17"/>
      <c r="FX1" s="17"/>
      <c r="FY1" s="183"/>
      <c r="FZ1" s="183"/>
      <c r="GA1" s="183"/>
      <c r="GB1" s="183"/>
      <c r="GC1" s="183"/>
      <c r="GD1" s="175"/>
      <c r="GE1" s="202" t="s">
        <v>2784</v>
      </c>
      <c r="GF1" s="200"/>
      <c r="GG1" s="200"/>
      <c r="GH1" s="201"/>
    </row>
    <row r="2" spans="1:190" s="23" customFormat="1" ht="54.75" customHeight="1" thickBot="1">
      <c r="A2" s="22" t="s">
        <v>1584</v>
      </c>
      <c r="B2" s="22" t="s">
        <v>1585</v>
      </c>
      <c r="C2" s="22" t="s">
        <v>211</v>
      </c>
      <c r="D2" s="22" t="s">
        <v>205</v>
      </c>
      <c r="E2" s="22" t="s">
        <v>1586</v>
      </c>
      <c r="F2" s="22" t="s">
        <v>229</v>
      </c>
      <c r="G2" s="22" t="s">
        <v>1601</v>
      </c>
      <c r="H2" s="22" t="s">
        <v>1587</v>
      </c>
      <c r="I2" s="22" t="s">
        <v>9</v>
      </c>
      <c r="J2" s="22" t="s">
        <v>1588</v>
      </c>
      <c r="K2" s="22" t="s">
        <v>1548</v>
      </c>
      <c r="L2" s="22" t="s">
        <v>1873</v>
      </c>
      <c r="M2" s="22" t="s">
        <v>1874</v>
      </c>
      <c r="N2" s="22" t="s">
        <v>492</v>
      </c>
      <c r="O2" s="22" t="s">
        <v>6</v>
      </c>
      <c r="P2" s="22" t="s">
        <v>216</v>
      </c>
      <c r="Q2" s="22" t="s">
        <v>1679</v>
      </c>
      <c r="R2" s="22" t="s">
        <v>232</v>
      </c>
      <c r="S2" s="22" t="s">
        <v>219</v>
      </c>
      <c r="T2" s="22" t="s">
        <v>1589</v>
      </c>
      <c r="U2" s="22" t="s">
        <v>7</v>
      </c>
      <c r="V2" s="22" t="s">
        <v>1590</v>
      </c>
      <c r="W2" s="22" t="s">
        <v>215</v>
      </c>
      <c r="X2" s="22" t="s">
        <v>1591</v>
      </c>
      <c r="Y2" s="22" t="s">
        <v>1592</v>
      </c>
      <c r="Z2" s="22" t="s">
        <v>1593</v>
      </c>
      <c r="AA2" s="22" t="s">
        <v>1594</v>
      </c>
      <c r="AB2" s="22" t="s">
        <v>233</v>
      </c>
      <c r="AC2" s="22" t="s">
        <v>1595</v>
      </c>
      <c r="AD2" s="22" t="s">
        <v>1596</v>
      </c>
      <c r="AE2" s="22" t="s">
        <v>1675</v>
      </c>
      <c r="AF2" s="22" t="s">
        <v>1</v>
      </c>
      <c r="AG2" s="22" t="s">
        <v>3</v>
      </c>
      <c r="AH2" s="22" t="s">
        <v>2</v>
      </c>
      <c r="AI2" s="22" t="s">
        <v>4</v>
      </c>
      <c r="AJ2" s="22" t="s">
        <v>1597</v>
      </c>
      <c r="AK2" s="22" t="s">
        <v>1598</v>
      </c>
      <c r="AL2" s="22" t="s">
        <v>209</v>
      </c>
      <c r="AM2" s="22" t="s">
        <v>1599</v>
      </c>
      <c r="AN2" s="22" t="s">
        <v>1615</v>
      </c>
      <c r="AO2" s="22" t="s">
        <v>1600</v>
      </c>
      <c r="AP2" s="22" t="s">
        <v>206</v>
      </c>
      <c r="AQ2" s="22" t="s">
        <v>1881</v>
      </c>
      <c r="AR2" s="99" t="s">
        <v>210</v>
      </c>
      <c r="AS2" s="22" t="s">
        <v>1880</v>
      </c>
      <c r="AT2" s="22" t="s">
        <v>1620</v>
      </c>
      <c r="AU2" s="22" t="s">
        <v>1629</v>
      </c>
      <c r="AV2" s="22" t="s">
        <v>1630</v>
      </c>
      <c r="AW2" s="22" t="s">
        <v>1631</v>
      </c>
      <c r="AX2" s="22" t="s">
        <v>1632</v>
      </c>
      <c r="AY2" s="22" t="s">
        <v>1633</v>
      </c>
      <c r="AZ2" s="99" t="s">
        <v>2456</v>
      </c>
      <c r="BA2" s="99" t="s">
        <v>2457</v>
      </c>
      <c r="BB2" s="22" t="s">
        <v>2455</v>
      </c>
      <c r="BC2" s="22" t="s">
        <v>1621</v>
      </c>
      <c r="BD2" s="22" t="s">
        <v>1622</v>
      </c>
      <c r="BE2" s="22" t="s">
        <v>1623</v>
      </c>
      <c r="BF2" s="22" t="s">
        <v>1624</v>
      </c>
      <c r="BG2" s="22" t="s">
        <v>1625</v>
      </c>
      <c r="BH2" s="22" t="s">
        <v>1626</v>
      </c>
      <c r="BI2" s="99" t="s">
        <v>2459</v>
      </c>
      <c r="BJ2" s="99" t="s">
        <v>2460</v>
      </c>
      <c r="BK2" s="22" t="s">
        <v>2458</v>
      </c>
      <c r="BL2" s="22" t="s">
        <v>1547</v>
      </c>
      <c r="BM2" s="22" t="s">
        <v>1674</v>
      </c>
      <c r="BN2" s="22" t="s">
        <v>1676</v>
      </c>
      <c r="BO2" s="22" t="s">
        <v>1677</v>
      </c>
      <c r="BP2" s="22" t="s">
        <v>1678</v>
      </c>
      <c r="BQ2" s="22" t="s">
        <v>1634</v>
      </c>
      <c r="BR2" s="22" t="s">
        <v>2462</v>
      </c>
      <c r="BS2" s="22" t="s">
        <v>1852</v>
      </c>
      <c r="BT2" s="22" t="s">
        <v>1853</v>
      </c>
      <c r="BU2" s="22" t="s">
        <v>1681</v>
      </c>
      <c r="BV2" s="22" t="s">
        <v>1682</v>
      </c>
      <c r="BW2" s="22" t="s">
        <v>1683</v>
      </c>
      <c r="BX2" s="22" t="s">
        <v>1684</v>
      </c>
      <c r="BY2" s="22" t="s">
        <v>1685</v>
      </c>
      <c r="BZ2" s="22" t="s">
        <v>1686</v>
      </c>
      <c r="CA2" s="22" t="s">
        <v>1687</v>
      </c>
      <c r="CB2" s="99" t="s">
        <v>1688</v>
      </c>
      <c r="CC2" s="22" t="s">
        <v>224</v>
      </c>
      <c r="CD2" s="22" t="s">
        <v>226</v>
      </c>
      <c r="CE2" s="22" t="s">
        <v>1653</v>
      </c>
      <c r="CF2" s="22" t="s">
        <v>227</v>
      </c>
      <c r="CG2" s="22" t="s">
        <v>1654</v>
      </c>
      <c r="CH2" s="22" t="s">
        <v>215</v>
      </c>
      <c r="CI2" s="22" t="s">
        <v>230</v>
      </c>
      <c r="CJ2" s="99" t="s">
        <v>1680</v>
      </c>
      <c r="CK2" s="99" t="s">
        <v>1690</v>
      </c>
      <c r="CL2" s="99" t="s">
        <v>1691</v>
      </c>
      <c r="CM2" s="99" t="s">
        <v>1692</v>
      </c>
      <c r="CN2" s="99" t="s">
        <v>1693</v>
      </c>
      <c r="CO2" s="99" t="s">
        <v>1694</v>
      </c>
      <c r="CP2" s="99" t="s">
        <v>1695</v>
      </c>
      <c r="CQ2" s="99" t="s">
        <v>1696</v>
      </c>
      <c r="CR2" s="99" t="s">
        <v>1697</v>
      </c>
      <c r="CS2" s="99" t="s">
        <v>1698</v>
      </c>
      <c r="CT2" s="99" t="s">
        <v>1699</v>
      </c>
      <c r="CU2" s="99" t="s">
        <v>1700</v>
      </c>
      <c r="CV2" s="99" t="s">
        <v>1701</v>
      </c>
      <c r="CW2" s="99" t="s">
        <v>1702</v>
      </c>
      <c r="CX2" s="99" t="s">
        <v>1703</v>
      </c>
      <c r="CY2" s="99" t="s">
        <v>1704</v>
      </c>
      <c r="CZ2" s="99" t="s">
        <v>1705</v>
      </c>
      <c r="DA2" s="99" t="s">
        <v>1706</v>
      </c>
      <c r="DB2" s="99" t="s">
        <v>1707</v>
      </c>
      <c r="DC2" s="99" t="s">
        <v>1708</v>
      </c>
      <c r="DD2" s="99" t="s">
        <v>1709</v>
      </c>
      <c r="DE2" s="99" t="s">
        <v>1710</v>
      </c>
      <c r="DF2" s="99" t="s">
        <v>1711</v>
      </c>
      <c r="DG2" s="99" t="s">
        <v>1712</v>
      </c>
      <c r="DH2" s="99" t="s">
        <v>1713</v>
      </c>
      <c r="DI2" s="99" t="s">
        <v>1714</v>
      </c>
      <c r="DJ2" s="99" t="s">
        <v>1715</v>
      </c>
      <c r="DK2" s="99" t="s">
        <v>1716</v>
      </c>
      <c r="DL2" s="99" t="s">
        <v>1717</v>
      </c>
      <c r="DM2" s="99" t="s">
        <v>1718</v>
      </c>
      <c r="DN2" s="99" t="s">
        <v>1719</v>
      </c>
      <c r="DO2" s="99" t="s">
        <v>1720</v>
      </c>
      <c r="DP2" s="99" t="s">
        <v>1721</v>
      </c>
      <c r="DQ2" s="99" t="s">
        <v>1722</v>
      </c>
      <c r="DR2" s="99" t="s">
        <v>1723</v>
      </c>
      <c r="DS2" s="99" t="s">
        <v>1724</v>
      </c>
      <c r="DT2" s="99" t="s">
        <v>1725</v>
      </c>
      <c r="DU2" s="99" t="s">
        <v>1726</v>
      </c>
      <c r="DV2" s="99" t="s">
        <v>1727</v>
      </c>
      <c r="DW2" s="99" t="s">
        <v>1728</v>
      </c>
      <c r="DX2" s="99" t="s">
        <v>1729</v>
      </c>
      <c r="DY2" s="99" t="s">
        <v>1731</v>
      </c>
      <c r="DZ2" s="99" t="s">
        <v>1732</v>
      </c>
      <c r="EA2" s="99" t="s">
        <v>1733</v>
      </c>
      <c r="EB2" s="99" t="s">
        <v>1734</v>
      </c>
      <c r="EC2" s="99" t="s">
        <v>1735</v>
      </c>
      <c r="ED2" s="99" t="s">
        <v>1736</v>
      </c>
      <c r="EE2" s="99" t="s">
        <v>1737</v>
      </c>
      <c r="EF2" s="99" t="s">
        <v>1738</v>
      </c>
      <c r="EG2" s="99" t="s">
        <v>1739</v>
      </c>
      <c r="EH2" s="99" t="s">
        <v>1740</v>
      </c>
      <c r="EI2" s="99" t="s">
        <v>1741</v>
      </c>
      <c r="EJ2" s="99" t="s">
        <v>1742</v>
      </c>
      <c r="EK2" s="99" t="s">
        <v>1743</v>
      </c>
      <c r="EL2" s="99" t="s">
        <v>1744</v>
      </c>
      <c r="EM2" s="99" t="s">
        <v>1745</v>
      </c>
      <c r="EN2" s="99" t="s">
        <v>1746</v>
      </c>
      <c r="EO2" s="99" t="s">
        <v>1747</v>
      </c>
      <c r="EP2" s="99" t="s">
        <v>1748</v>
      </c>
      <c r="EQ2" s="99" t="s">
        <v>1749</v>
      </c>
      <c r="ER2" s="99" t="s">
        <v>1750</v>
      </c>
      <c r="ES2" s="99" t="s">
        <v>1751</v>
      </c>
      <c r="ET2" s="99" t="s">
        <v>1752</v>
      </c>
      <c r="EU2" s="99" t="s">
        <v>1753</v>
      </c>
      <c r="EV2" s="99" t="s">
        <v>1754</v>
      </c>
      <c r="EW2" s="99" t="s">
        <v>1755</v>
      </c>
      <c r="EX2" s="99" t="s">
        <v>1756</v>
      </c>
      <c r="EY2" s="99" t="s">
        <v>1757</v>
      </c>
      <c r="EZ2" s="99" t="s">
        <v>1758</v>
      </c>
      <c r="FA2" s="99" t="s">
        <v>1759</v>
      </c>
      <c r="FB2" s="99" t="s">
        <v>1760</v>
      </c>
      <c r="FC2" s="99" t="s">
        <v>1761</v>
      </c>
      <c r="FD2" s="99" t="s">
        <v>1762</v>
      </c>
      <c r="FE2" s="99" t="s">
        <v>1763</v>
      </c>
      <c r="FF2" s="99" t="s">
        <v>1764</v>
      </c>
      <c r="FG2" s="99" t="s">
        <v>1765</v>
      </c>
      <c r="FH2" s="99" t="s">
        <v>1766</v>
      </c>
      <c r="FI2" s="99" t="s">
        <v>1767</v>
      </c>
      <c r="FJ2" s="99" t="s">
        <v>1768</v>
      </c>
      <c r="FK2" s="99" t="s">
        <v>1769</v>
      </c>
      <c r="FL2" s="22" t="s">
        <v>1770</v>
      </c>
      <c r="FM2" s="99" t="s">
        <v>2470</v>
      </c>
      <c r="FN2" s="99" t="s">
        <v>1791</v>
      </c>
      <c r="FO2" s="99" t="s">
        <v>1794</v>
      </c>
      <c r="FP2" s="99" t="s">
        <v>1792</v>
      </c>
      <c r="FQ2" s="99" t="s">
        <v>2464</v>
      </c>
      <c r="FR2" s="99" t="s">
        <v>1793</v>
      </c>
      <c r="FS2" s="99" t="s">
        <v>1795</v>
      </c>
      <c r="FT2" s="99" t="s">
        <v>1796</v>
      </c>
      <c r="FU2" s="99" t="s">
        <v>2465</v>
      </c>
      <c r="FV2" s="99" t="s">
        <v>2466</v>
      </c>
      <c r="FW2" s="99" t="s">
        <v>2467</v>
      </c>
      <c r="FX2" s="99" t="s">
        <v>2468</v>
      </c>
      <c r="FY2" s="22" t="s">
        <v>2469</v>
      </c>
      <c r="FZ2" s="22" t="s">
        <v>2471</v>
      </c>
      <c r="GA2" s="22" t="s">
        <v>2472</v>
      </c>
      <c r="GB2" s="22" t="s">
        <v>2475</v>
      </c>
      <c r="GC2" s="22" t="s">
        <v>2705</v>
      </c>
      <c r="GD2" s="22" t="s">
        <v>2774</v>
      </c>
      <c r="GE2" s="22" t="s">
        <v>2777</v>
      </c>
      <c r="GF2" s="22" t="s">
        <v>2778</v>
      </c>
      <c r="GG2" s="22" t="s">
        <v>2779</v>
      </c>
      <c r="GH2" s="22" t="s">
        <v>2783</v>
      </c>
    </row>
    <row r="3" spans="1:190" ht="15.75" customHeight="1">
      <c r="A3" s="176"/>
      <c r="B3" s="177"/>
      <c r="C3" s="177"/>
      <c r="D3" s="177"/>
      <c r="E3" s="177"/>
      <c r="F3" s="177"/>
      <c r="G3" s="178"/>
      <c r="H3" s="179"/>
      <c r="J3" s="185"/>
      <c r="O3" s="182"/>
      <c r="P3" s="182"/>
      <c r="Q3" s="1"/>
      <c r="AC3" s="180"/>
      <c r="AD3" s="180"/>
      <c r="AE3" s="180"/>
      <c r="AJ3" s="191"/>
      <c r="BS3" s="181"/>
      <c r="CC3" s="24"/>
      <c r="CD3" s="24"/>
      <c r="CE3" s="24"/>
      <c r="CF3" s="24"/>
      <c r="CG3" s="24"/>
      <c r="CH3" s="24"/>
      <c r="CI3" s="24"/>
      <c r="CJ3" s="24"/>
      <c r="DE3" s="24"/>
      <c r="DF3" s="24"/>
      <c r="DG3" s="24"/>
      <c r="DH3" s="24"/>
      <c r="DI3" s="24"/>
      <c r="DJ3" s="24"/>
      <c r="DK3" s="24"/>
      <c r="DL3" s="24"/>
      <c r="DM3" s="24"/>
      <c r="DN3" s="24"/>
      <c r="DO3" s="24"/>
      <c r="DP3" s="24"/>
      <c r="DQ3" s="24"/>
      <c r="DR3" s="24"/>
      <c r="DS3" s="24"/>
      <c r="DT3" s="24"/>
      <c r="DU3" s="24"/>
      <c r="DV3" s="24"/>
      <c r="DW3" s="24"/>
      <c r="DX3" s="24"/>
      <c r="DY3" s="24"/>
      <c r="DZ3" s="24"/>
      <c r="EA3" s="24"/>
      <c r="EB3" s="24"/>
      <c r="EC3" s="24"/>
      <c r="ED3" s="24"/>
      <c r="EE3" s="24"/>
      <c r="EF3" s="24"/>
      <c r="EG3" s="24"/>
      <c r="EH3" s="24"/>
      <c r="EI3" s="24"/>
      <c r="EJ3" s="24"/>
      <c r="EK3" s="24"/>
      <c r="EL3" s="24"/>
      <c r="EM3" s="24"/>
      <c r="EN3" s="24"/>
      <c r="EO3" s="24"/>
      <c r="EP3" s="24"/>
      <c r="EQ3" s="24"/>
      <c r="ER3" s="24"/>
      <c r="ES3" s="24"/>
      <c r="ET3" s="24"/>
      <c r="EU3" s="24"/>
      <c r="EV3" s="24"/>
      <c r="EW3" s="24"/>
      <c r="EX3" s="24"/>
      <c r="EY3" s="24"/>
      <c r="EZ3" s="24"/>
      <c r="FA3" s="24"/>
      <c r="FB3" s="24"/>
      <c r="FC3" s="24"/>
      <c r="FD3" s="24"/>
      <c r="FE3" s="24"/>
      <c r="FF3" s="24"/>
      <c r="FG3" s="24"/>
      <c r="FH3" s="24"/>
      <c r="FI3" s="24"/>
      <c r="FJ3" s="24"/>
      <c r="FK3" s="24"/>
      <c r="FL3" s="24"/>
    </row>
    <row r="4" spans="1:190" ht="15.75" customHeight="1">
      <c r="A4" s="176"/>
      <c r="B4" s="177"/>
      <c r="C4" s="177"/>
      <c r="D4" s="177"/>
      <c r="E4" s="177"/>
      <c r="F4" s="177"/>
      <c r="G4" s="178"/>
      <c r="H4" s="179"/>
      <c r="J4" s="185"/>
      <c r="O4" s="182"/>
      <c r="P4" s="182"/>
      <c r="Q4" s="1"/>
      <c r="AC4" s="180"/>
      <c r="AD4" s="180"/>
      <c r="AE4" s="180"/>
      <c r="AJ4" s="191"/>
      <c r="BS4" s="181"/>
      <c r="CC4" s="24"/>
      <c r="CD4" s="24"/>
      <c r="CE4" s="24"/>
      <c r="CF4" s="24"/>
      <c r="CG4" s="24"/>
      <c r="CH4" s="24"/>
      <c r="CI4" s="24"/>
      <c r="CJ4" s="24"/>
      <c r="DE4" s="24"/>
      <c r="DF4" s="24"/>
      <c r="DG4" s="24"/>
      <c r="DH4" s="24"/>
      <c r="DI4" s="24"/>
      <c r="DJ4" s="24"/>
      <c r="DK4" s="24"/>
      <c r="DL4" s="24"/>
      <c r="DM4" s="24"/>
      <c r="DN4" s="24"/>
      <c r="DO4" s="24"/>
      <c r="DP4" s="24"/>
      <c r="DQ4" s="24"/>
      <c r="DR4" s="24"/>
      <c r="DS4" s="24"/>
      <c r="DT4" s="24"/>
      <c r="DU4" s="24"/>
      <c r="DV4" s="24"/>
      <c r="DW4" s="24"/>
      <c r="DX4" s="24"/>
      <c r="DY4" s="24"/>
      <c r="DZ4" s="24"/>
      <c r="EA4" s="24"/>
      <c r="EB4" s="24"/>
      <c r="EC4" s="24"/>
      <c r="ED4" s="24"/>
      <c r="EE4" s="24"/>
      <c r="EF4" s="24"/>
      <c r="EG4" s="24"/>
      <c r="EH4" s="24"/>
      <c r="EI4" s="24"/>
      <c r="EJ4" s="24"/>
      <c r="EK4" s="24"/>
      <c r="EL4" s="24"/>
      <c r="EM4" s="24"/>
      <c r="EN4" s="24"/>
      <c r="EO4" s="24"/>
      <c r="EP4" s="24"/>
      <c r="EQ4" s="24"/>
      <c r="ER4" s="24"/>
      <c r="ES4" s="24"/>
      <c r="ET4" s="24"/>
      <c r="EU4" s="24"/>
      <c r="EV4" s="24"/>
      <c r="EW4" s="24"/>
      <c r="EX4" s="24"/>
      <c r="EY4" s="24"/>
      <c r="EZ4" s="24"/>
      <c r="FA4" s="24"/>
      <c r="FB4" s="24"/>
      <c r="FC4" s="24"/>
      <c r="FD4" s="24"/>
      <c r="FE4" s="24"/>
      <c r="FF4" s="24"/>
      <c r="FG4" s="24"/>
      <c r="FH4" s="24"/>
      <c r="FI4" s="24"/>
      <c r="FJ4" s="24"/>
      <c r="FK4" s="24"/>
      <c r="FL4" s="24"/>
    </row>
    <row r="5" spans="1:190" ht="15.75" customHeight="1">
      <c r="A5" s="176"/>
      <c r="B5" s="177"/>
      <c r="C5" s="177"/>
      <c r="D5" s="177"/>
      <c r="E5" s="177"/>
      <c r="F5" s="177"/>
      <c r="G5" s="178"/>
      <c r="H5" s="179"/>
      <c r="J5" s="185"/>
      <c r="O5" s="182"/>
      <c r="P5" s="182"/>
      <c r="Q5" s="1"/>
      <c r="AC5" s="180"/>
      <c r="AD5" s="180"/>
      <c r="AE5" s="180"/>
      <c r="AJ5" s="191"/>
      <c r="BS5" s="181"/>
      <c r="CC5" s="24"/>
      <c r="CD5" s="24"/>
      <c r="CE5" s="24"/>
      <c r="CF5" s="24"/>
      <c r="CG5" s="24"/>
      <c r="CH5" s="24"/>
      <c r="CI5" s="24"/>
      <c r="CJ5" s="24"/>
      <c r="DE5" s="24"/>
      <c r="DF5" s="24"/>
      <c r="DG5" s="24"/>
      <c r="DH5" s="24"/>
      <c r="DI5" s="24"/>
      <c r="DJ5" s="24"/>
      <c r="DK5" s="24"/>
      <c r="DL5" s="24"/>
      <c r="DM5" s="24"/>
      <c r="DN5" s="24"/>
      <c r="DO5" s="24"/>
      <c r="DP5" s="24"/>
      <c r="DQ5" s="24"/>
      <c r="DR5" s="24"/>
      <c r="DS5" s="24"/>
      <c r="DT5" s="24"/>
      <c r="DU5" s="24"/>
      <c r="DV5" s="24"/>
      <c r="DW5" s="24"/>
      <c r="DX5" s="24"/>
      <c r="DY5" s="24"/>
      <c r="DZ5" s="24"/>
      <c r="EA5" s="24"/>
      <c r="EB5" s="24"/>
      <c r="EC5" s="24"/>
      <c r="ED5" s="24"/>
      <c r="EE5" s="24"/>
      <c r="EF5" s="24"/>
      <c r="EG5" s="24"/>
      <c r="EH5" s="24"/>
      <c r="EI5" s="24"/>
      <c r="EJ5" s="24"/>
      <c r="EK5" s="24"/>
      <c r="EL5" s="24"/>
      <c r="EM5" s="24"/>
      <c r="EN5" s="24"/>
      <c r="EO5" s="24"/>
      <c r="EP5" s="24"/>
      <c r="EQ5" s="24"/>
      <c r="ER5" s="24"/>
      <c r="ES5" s="24"/>
      <c r="ET5" s="24"/>
      <c r="EU5" s="24"/>
      <c r="EV5" s="24"/>
      <c r="EW5" s="24"/>
      <c r="EX5" s="24"/>
      <c r="EY5" s="24"/>
      <c r="EZ5" s="24"/>
      <c r="FA5" s="24"/>
      <c r="FB5" s="24"/>
      <c r="FC5" s="24"/>
      <c r="FD5" s="24"/>
      <c r="FE5" s="24"/>
      <c r="FF5" s="24"/>
      <c r="FG5" s="24"/>
      <c r="FH5" s="24"/>
      <c r="FI5" s="24"/>
      <c r="FJ5" s="24"/>
      <c r="FK5" s="24"/>
      <c r="FL5" s="24"/>
    </row>
    <row r="6" spans="1:190" ht="15.75" customHeight="1">
      <c r="A6" s="176"/>
      <c r="B6" s="177"/>
      <c r="C6" s="177"/>
      <c r="D6" s="177"/>
      <c r="E6" s="177"/>
      <c r="F6" s="177"/>
      <c r="G6" s="178"/>
      <c r="H6" s="179"/>
      <c r="J6" s="185"/>
      <c r="O6" s="182"/>
      <c r="P6" s="182"/>
      <c r="Q6" s="1"/>
      <c r="AC6" s="180"/>
      <c r="AD6" s="180"/>
      <c r="AE6" s="180"/>
      <c r="AJ6" s="191"/>
      <c r="BS6" s="181"/>
      <c r="CC6" s="24"/>
      <c r="CD6" s="24"/>
      <c r="CE6" s="24"/>
      <c r="CF6" s="24"/>
      <c r="CG6" s="24"/>
      <c r="CH6" s="24"/>
      <c r="CI6" s="24"/>
      <c r="CJ6" s="24"/>
      <c r="DE6" s="24"/>
      <c r="DF6" s="24"/>
      <c r="DG6" s="24"/>
      <c r="DH6" s="24"/>
      <c r="DI6" s="24"/>
      <c r="DJ6" s="24"/>
      <c r="DK6" s="24"/>
      <c r="DL6" s="24"/>
      <c r="DM6" s="24"/>
      <c r="DN6" s="24"/>
      <c r="DO6" s="24"/>
      <c r="DP6" s="24"/>
      <c r="DQ6" s="24"/>
      <c r="DR6" s="24"/>
      <c r="DS6" s="24"/>
      <c r="DT6" s="24"/>
      <c r="DU6" s="24"/>
      <c r="DV6" s="24"/>
      <c r="DW6" s="24"/>
      <c r="DX6" s="24"/>
      <c r="DY6" s="24"/>
      <c r="DZ6" s="24"/>
      <c r="EA6" s="24"/>
      <c r="EB6" s="24"/>
      <c r="EC6" s="24"/>
      <c r="ED6" s="24"/>
      <c r="EE6" s="24"/>
      <c r="EF6" s="24"/>
      <c r="EG6" s="24"/>
      <c r="EH6" s="24"/>
      <c r="EI6" s="24"/>
      <c r="EJ6" s="24"/>
      <c r="EK6" s="24"/>
      <c r="EL6" s="24"/>
      <c r="EM6" s="24"/>
      <c r="EN6" s="24"/>
      <c r="EO6" s="24"/>
      <c r="EP6" s="24"/>
      <c r="EQ6" s="24"/>
      <c r="ER6" s="24"/>
      <c r="ES6" s="24"/>
      <c r="ET6" s="24"/>
      <c r="EU6" s="24"/>
      <c r="EV6" s="24"/>
      <c r="EW6" s="24"/>
      <c r="EX6" s="24"/>
      <c r="EY6" s="24"/>
      <c r="EZ6" s="24"/>
      <c r="FA6" s="24"/>
      <c r="FB6" s="24"/>
      <c r="FC6" s="24"/>
      <c r="FD6" s="24"/>
      <c r="FE6" s="24"/>
      <c r="FF6" s="24"/>
      <c r="FG6" s="24"/>
      <c r="FH6" s="24"/>
      <c r="FI6" s="24"/>
      <c r="FJ6" s="24"/>
      <c r="FK6" s="24"/>
      <c r="FL6" s="24"/>
    </row>
    <row r="7" spans="1:190" ht="15.75" customHeight="1">
      <c r="A7" s="176"/>
      <c r="B7" s="177"/>
      <c r="C7" s="177"/>
      <c r="D7" s="177"/>
      <c r="E7" s="177"/>
      <c r="F7" s="177"/>
      <c r="G7" s="178"/>
      <c r="H7" s="179"/>
      <c r="J7" s="185"/>
      <c r="O7" s="182"/>
      <c r="P7" s="182"/>
      <c r="Q7" s="1"/>
      <c r="AC7" s="180"/>
      <c r="AD7" s="180"/>
      <c r="AE7" s="180"/>
      <c r="AJ7" s="191"/>
      <c r="BS7" s="181"/>
      <c r="CC7" s="24"/>
      <c r="CD7" s="24"/>
      <c r="CE7" s="24"/>
      <c r="CF7" s="24"/>
      <c r="CG7" s="24"/>
      <c r="CH7" s="24"/>
      <c r="CI7" s="24"/>
      <c r="CJ7" s="24"/>
      <c r="DE7" s="24"/>
      <c r="DF7" s="24"/>
      <c r="DG7" s="24"/>
      <c r="DH7" s="24"/>
      <c r="DI7" s="24"/>
      <c r="DJ7" s="24"/>
      <c r="DK7" s="24"/>
      <c r="DL7" s="24"/>
      <c r="DM7" s="24"/>
      <c r="DN7" s="24"/>
      <c r="DO7" s="24"/>
      <c r="DP7" s="24"/>
      <c r="DQ7" s="24"/>
      <c r="DR7" s="24"/>
      <c r="DS7" s="24"/>
      <c r="DT7" s="24"/>
      <c r="DU7" s="24"/>
      <c r="DV7" s="24"/>
      <c r="DW7" s="24"/>
      <c r="DX7" s="24"/>
      <c r="DY7" s="24"/>
      <c r="DZ7" s="24"/>
      <c r="EA7" s="24"/>
      <c r="EB7" s="24"/>
      <c r="EC7" s="24"/>
      <c r="ED7" s="24"/>
      <c r="EE7" s="24"/>
      <c r="EF7" s="24"/>
      <c r="EG7" s="24"/>
      <c r="EH7" s="24"/>
      <c r="EI7" s="24"/>
      <c r="EJ7" s="24"/>
      <c r="EK7" s="24"/>
      <c r="EL7" s="24"/>
      <c r="EM7" s="24"/>
      <c r="EN7" s="24"/>
      <c r="EO7" s="24"/>
      <c r="EP7" s="24"/>
      <c r="EQ7" s="24"/>
      <c r="ER7" s="24"/>
      <c r="ES7" s="24"/>
      <c r="ET7" s="24"/>
      <c r="EU7" s="24"/>
      <c r="EV7" s="24"/>
      <c r="EW7" s="24"/>
      <c r="EX7" s="24"/>
      <c r="EY7" s="24"/>
      <c r="EZ7" s="24"/>
      <c r="FA7" s="24"/>
      <c r="FB7" s="24"/>
      <c r="FC7" s="24"/>
      <c r="FD7" s="24"/>
      <c r="FE7" s="24"/>
      <c r="FF7" s="24"/>
      <c r="FG7" s="24"/>
      <c r="FH7" s="24"/>
      <c r="FI7" s="24"/>
      <c r="FJ7" s="24"/>
      <c r="FK7" s="24"/>
      <c r="FL7" s="24"/>
    </row>
    <row r="8" spans="1:190" ht="15.75" customHeight="1">
      <c r="A8" s="176"/>
      <c r="B8" s="177"/>
      <c r="C8" s="177"/>
      <c r="D8" s="177"/>
      <c r="E8" s="177"/>
      <c r="F8" s="177"/>
      <c r="G8" s="178"/>
      <c r="H8" s="179"/>
      <c r="J8" s="185"/>
      <c r="O8" s="182"/>
      <c r="P8" s="182"/>
      <c r="Q8" s="1"/>
      <c r="AC8" s="180"/>
      <c r="AD8" s="180"/>
      <c r="AE8" s="180"/>
      <c r="AJ8" s="191"/>
      <c r="BS8" s="181"/>
      <c r="CC8" s="24"/>
      <c r="CD8" s="24"/>
      <c r="CE8" s="24"/>
      <c r="CF8" s="24"/>
      <c r="CG8" s="24"/>
      <c r="CH8" s="24"/>
      <c r="CI8" s="24"/>
      <c r="CJ8" s="24"/>
      <c r="DE8" s="24"/>
      <c r="DF8" s="24"/>
      <c r="DG8" s="24"/>
      <c r="DH8" s="24"/>
      <c r="DI8" s="24"/>
      <c r="DJ8" s="24"/>
      <c r="DK8" s="24"/>
      <c r="DL8" s="24"/>
      <c r="DM8" s="24"/>
      <c r="DN8" s="24"/>
      <c r="DO8" s="24"/>
      <c r="DP8" s="24"/>
      <c r="DQ8" s="24"/>
      <c r="DR8" s="24"/>
      <c r="DS8" s="24"/>
      <c r="DT8" s="24"/>
      <c r="DU8" s="24"/>
      <c r="DV8" s="24"/>
      <c r="DW8" s="24"/>
      <c r="DX8" s="24"/>
      <c r="DY8" s="24"/>
      <c r="DZ8" s="24"/>
      <c r="EA8" s="24"/>
      <c r="EB8" s="24"/>
      <c r="EC8" s="24"/>
      <c r="ED8" s="24"/>
      <c r="EE8" s="24"/>
      <c r="EF8" s="24"/>
      <c r="EG8" s="24"/>
      <c r="EH8" s="24"/>
      <c r="EI8" s="24"/>
      <c r="EJ8" s="24"/>
      <c r="EK8" s="24"/>
      <c r="EL8" s="24"/>
      <c r="EM8" s="24"/>
      <c r="EN8" s="24"/>
      <c r="EO8" s="24"/>
      <c r="EP8" s="24"/>
      <c r="EQ8" s="24"/>
      <c r="ER8" s="24"/>
      <c r="ES8" s="24"/>
      <c r="ET8" s="24"/>
      <c r="EU8" s="24"/>
      <c r="EV8" s="24"/>
      <c r="EW8" s="24"/>
      <c r="EX8" s="24"/>
      <c r="EY8" s="24"/>
      <c r="EZ8" s="24"/>
      <c r="FA8" s="24"/>
      <c r="FB8" s="24"/>
      <c r="FC8" s="24"/>
      <c r="FD8" s="24"/>
      <c r="FE8" s="24"/>
      <c r="FF8" s="24"/>
      <c r="FG8" s="24"/>
      <c r="FH8" s="24"/>
      <c r="FI8" s="24"/>
      <c r="FJ8" s="24"/>
      <c r="FK8" s="24"/>
      <c r="FL8" s="24"/>
    </row>
    <row r="9" spans="1:190" ht="15.75" customHeight="1">
      <c r="A9" s="176"/>
      <c r="B9" s="177"/>
      <c r="C9" s="177"/>
      <c r="D9" s="177"/>
      <c r="E9" s="177"/>
      <c r="F9" s="177"/>
      <c r="G9" s="178"/>
      <c r="H9" s="179"/>
      <c r="J9" s="185"/>
      <c r="O9" s="182"/>
      <c r="P9" s="182"/>
      <c r="Q9" s="1"/>
      <c r="AC9" s="180"/>
      <c r="AD9" s="180"/>
      <c r="AE9" s="180"/>
      <c r="AJ9" s="191"/>
      <c r="BS9" s="181"/>
      <c r="CC9" s="24"/>
      <c r="CD9" s="24"/>
      <c r="CE9" s="24"/>
      <c r="CF9" s="24"/>
      <c r="CG9" s="24"/>
      <c r="CH9" s="24"/>
      <c r="CI9" s="24"/>
      <c r="CJ9" s="24"/>
      <c r="DE9" s="24"/>
      <c r="DF9" s="24"/>
      <c r="DG9" s="24"/>
      <c r="DH9" s="24"/>
      <c r="DI9" s="24"/>
      <c r="DJ9" s="24"/>
      <c r="DK9" s="24"/>
      <c r="DL9" s="24"/>
      <c r="DM9" s="24"/>
      <c r="DN9" s="24"/>
      <c r="DO9" s="24"/>
      <c r="DP9" s="24"/>
      <c r="DQ9" s="24"/>
      <c r="DR9" s="24"/>
      <c r="DS9" s="24"/>
      <c r="DT9" s="24"/>
      <c r="DU9" s="24"/>
      <c r="DV9" s="24"/>
      <c r="DW9" s="24"/>
      <c r="DX9" s="24"/>
      <c r="DY9" s="24"/>
      <c r="DZ9" s="24"/>
      <c r="EA9" s="24"/>
      <c r="EB9" s="24"/>
      <c r="EC9" s="24"/>
      <c r="ED9" s="24"/>
      <c r="EE9" s="24"/>
      <c r="EF9" s="24"/>
      <c r="EG9" s="24"/>
      <c r="EH9" s="24"/>
      <c r="EI9" s="24"/>
      <c r="EJ9" s="24"/>
      <c r="EK9" s="24"/>
      <c r="EL9" s="24"/>
      <c r="EM9" s="24"/>
      <c r="EN9" s="24"/>
      <c r="EO9" s="24"/>
      <c r="EP9" s="24"/>
      <c r="EQ9" s="24"/>
      <c r="ER9" s="24"/>
      <c r="ES9" s="24"/>
      <c r="ET9" s="24"/>
      <c r="EU9" s="24"/>
      <c r="EV9" s="24"/>
      <c r="EW9" s="24"/>
      <c r="EX9" s="24"/>
      <c r="EY9" s="24"/>
      <c r="EZ9" s="24"/>
      <c r="FA9" s="24"/>
      <c r="FB9" s="24"/>
      <c r="FC9" s="24"/>
      <c r="FD9" s="24"/>
      <c r="FE9" s="24"/>
      <c r="FF9" s="24"/>
      <c r="FG9" s="24"/>
      <c r="FH9" s="24"/>
      <c r="FI9" s="24"/>
      <c r="FJ9" s="24"/>
      <c r="FK9" s="24"/>
      <c r="FL9" s="24"/>
    </row>
    <row r="10" spans="1:190" ht="15.75" customHeight="1">
      <c r="A10" s="176"/>
      <c r="B10" s="177"/>
      <c r="C10" s="177"/>
      <c r="D10" s="177"/>
      <c r="E10" s="177"/>
      <c r="F10" s="177"/>
      <c r="G10" s="178"/>
      <c r="H10" s="179"/>
      <c r="J10" s="185"/>
      <c r="O10" s="182"/>
      <c r="P10" s="182"/>
      <c r="Q10" s="1"/>
      <c r="AC10" s="180"/>
      <c r="AD10" s="180"/>
      <c r="AE10" s="180"/>
      <c r="AJ10" s="191"/>
      <c r="BS10" s="181"/>
      <c r="CC10" s="24"/>
      <c r="CD10" s="24"/>
      <c r="CE10" s="24"/>
      <c r="CF10" s="24"/>
      <c r="CG10" s="24"/>
      <c r="CH10" s="24"/>
      <c r="CI10" s="24"/>
      <c r="CJ10" s="24"/>
      <c r="DE10" s="24"/>
      <c r="DF10" s="24"/>
      <c r="DG10" s="24"/>
      <c r="DH10" s="24"/>
      <c r="DI10" s="24"/>
      <c r="DJ10" s="24"/>
      <c r="DK10" s="24"/>
      <c r="DL10" s="24"/>
      <c r="DM10" s="24"/>
      <c r="DN10" s="24"/>
      <c r="DO10" s="24"/>
      <c r="DP10" s="24"/>
      <c r="DQ10" s="24"/>
      <c r="DR10" s="24"/>
      <c r="DS10" s="24"/>
      <c r="DT10" s="24"/>
      <c r="DU10" s="24"/>
      <c r="DV10" s="24"/>
      <c r="DW10" s="24"/>
      <c r="DX10" s="24"/>
      <c r="DY10" s="24"/>
      <c r="DZ10" s="24"/>
      <c r="EA10" s="24"/>
      <c r="EB10" s="24"/>
      <c r="EC10" s="24"/>
      <c r="ED10" s="24"/>
      <c r="EE10" s="24"/>
      <c r="EF10" s="24"/>
      <c r="EG10" s="24"/>
      <c r="EH10" s="24"/>
      <c r="EI10" s="24"/>
      <c r="EJ10" s="24"/>
      <c r="EK10" s="24"/>
      <c r="EL10" s="24"/>
      <c r="EM10" s="24"/>
      <c r="EN10" s="24"/>
      <c r="EO10" s="24"/>
      <c r="EP10" s="24"/>
      <c r="EQ10" s="24"/>
      <c r="ER10" s="24"/>
      <c r="ES10" s="24"/>
      <c r="ET10" s="24"/>
      <c r="EU10" s="24"/>
      <c r="EV10" s="24"/>
      <c r="EW10" s="24"/>
      <c r="EX10" s="24"/>
      <c r="EY10" s="24"/>
      <c r="EZ10" s="24"/>
      <c r="FA10" s="24"/>
      <c r="FB10" s="24"/>
      <c r="FC10" s="24"/>
      <c r="FD10" s="24"/>
      <c r="FE10" s="24"/>
      <c r="FF10" s="24"/>
      <c r="FG10" s="24"/>
      <c r="FH10" s="24"/>
      <c r="FI10" s="24"/>
      <c r="FJ10" s="24"/>
      <c r="FK10" s="24"/>
      <c r="FL10" s="24"/>
    </row>
    <row r="11" spans="1:190" ht="15.75" customHeight="1">
      <c r="A11" s="176"/>
      <c r="B11" s="177"/>
      <c r="C11" s="177"/>
      <c r="D11" s="177"/>
      <c r="E11" s="177"/>
      <c r="F11" s="177"/>
      <c r="G11" s="178"/>
      <c r="H11" s="179"/>
      <c r="J11" s="185"/>
      <c r="O11" s="182"/>
      <c r="P11" s="182"/>
      <c r="Q11" s="1"/>
      <c r="AC11" s="180"/>
      <c r="AD11" s="180"/>
      <c r="AE11" s="180"/>
      <c r="AJ11" s="191"/>
      <c r="BS11" s="181"/>
      <c r="CC11" s="24"/>
      <c r="CD11" s="24"/>
      <c r="CE11" s="24"/>
      <c r="CF11" s="24"/>
      <c r="CG11" s="24"/>
      <c r="CH11" s="24"/>
      <c r="CI11" s="24"/>
      <c r="CJ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row>
    <row r="12" spans="1:190" ht="15.75" customHeight="1">
      <c r="A12" s="176"/>
      <c r="B12" s="177"/>
      <c r="C12" s="177"/>
      <c r="D12" s="177"/>
      <c r="E12" s="177"/>
      <c r="F12" s="177"/>
      <c r="G12" s="178"/>
      <c r="H12" s="179"/>
      <c r="J12" s="185"/>
      <c r="O12" s="182"/>
      <c r="P12" s="182"/>
      <c r="Q12" s="1"/>
      <c r="AC12" s="180"/>
      <c r="AD12" s="180"/>
      <c r="AE12" s="180"/>
      <c r="AJ12" s="191"/>
      <c r="BS12" s="181"/>
      <c r="CC12" s="24"/>
      <c r="CD12" s="24"/>
      <c r="CE12" s="24"/>
      <c r="CF12" s="24"/>
      <c r="CG12" s="24"/>
      <c r="CH12" s="24"/>
      <c r="CI12" s="24"/>
      <c r="CJ12" s="24"/>
      <c r="DE12" s="24"/>
      <c r="DF12" s="24"/>
      <c r="DG12" s="24"/>
      <c r="DH12" s="24"/>
      <c r="DI12" s="24"/>
      <c r="DJ12" s="24"/>
      <c r="DK12" s="24"/>
      <c r="DL12" s="24"/>
      <c r="DM12" s="24"/>
      <c r="DN12" s="24"/>
      <c r="DO12" s="24"/>
      <c r="DP12" s="24"/>
      <c r="DQ12" s="24"/>
      <c r="DR12" s="24"/>
      <c r="DS12" s="24"/>
      <c r="DT12" s="24"/>
      <c r="DU12" s="24"/>
      <c r="DV12" s="24"/>
      <c r="DW12" s="24"/>
      <c r="DX12" s="24"/>
      <c r="DY12" s="24"/>
      <c r="DZ12" s="24"/>
      <c r="EA12" s="24"/>
      <c r="EB12" s="24"/>
      <c r="EC12" s="24"/>
      <c r="ED12" s="24"/>
      <c r="EE12" s="24"/>
      <c r="EF12" s="24"/>
      <c r="EG12" s="24"/>
      <c r="EH12" s="24"/>
      <c r="EI12" s="24"/>
      <c r="EJ12" s="24"/>
      <c r="EK12" s="24"/>
      <c r="EL12" s="24"/>
      <c r="EM12" s="24"/>
      <c r="EN12" s="24"/>
      <c r="EO12" s="24"/>
      <c r="EP12" s="24"/>
      <c r="EQ12" s="24"/>
      <c r="ER12" s="24"/>
      <c r="ES12" s="24"/>
      <c r="ET12" s="24"/>
      <c r="EU12" s="24"/>
      <c r="EV12" s="24"/>
      <c r="EW12" s="24"/>
      <c r="EX12" s="24"/>
      <c r="EY12" s="24"/>
      <c r="EZ12" s="24"/>
      <c r="FA12" s="24"/>
      <c r="FB12" s="24"/>
      <c r="FC12" s="24"/>
      <c r="FD12" s="24"/>
      <c r="FE12" s="24"/>
      <c r="FF12" s="24"/>
      <c r="FG12" s="24"/>
      <c r="FH12" s="24"/>
      <c r="FI12" s="24"/>
      <c r="FJ12" s="24"/>
      <c r="FK12" s="24"/>
      <c r="FL12" s="24"/>
    </row>
    <row r="13" spans="1:190" ht="15.75" customHeight="1">
      <c r="A13" s="176"/>
      <c r="B13" s="177"/>
      <c r="C13" s="177"/>
      <c r="D13" s="177"/>
      <c r="E13" s="177"/>
      <c r="F13" s="177"/>
      <c r="G13" s="178"/>
      <c r="H13" s="179"/>
      <c r="J13" s="185"/>
      <c r="O13" s="182"/>
      <c r="P13" s="182"/>
      <c r="Q13" s="1"/>
      <c r="AC13" s="180"/>
      <c r="AD13" s="180"/>
      <c r="AE13" s="180"/>
      <c r="AJ13" s="191"/>
      <c r="BS13" s="181"/>
      <c r="CC13" s="24"/>
      <c r="CD13" s="24"/>
      <c r="CE13" s="24"/>
      <c r="CF13" s="24"/>
      <c r="CG13" s="24"/>
      <c r="CH13" s="24"/>
      <c r="CI13" s="24"/>
      <c r="CJ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c r="EO13" s="24"/>
      <c r="EP13" s="24"/>
      <c r="EQ13" s="24"/>
      <c r="ER13" s="24"/>
      <c r="ES13" s="24"/>
      <c r="ET13" s="24"/>
      <c r="EU13" s="24"/>
      <c r="EV13" s="24"/>
      <c r="EW13" s="24"/>
      <c r="EX13" s="24"/>
      <c r="EY13" s="24"/>
      <c r="EZ13" s="24"/>
      <c r="FA13" s="24"/>
      <c r="FB13" s="24"/>
      <c r="FC13" s="24"/>
      <c r="FD13" s="24"/>
      <c r="FE13" s="24"/>
      <c r="FF13" s="24"/>
      <c r="FG13" s="24"/>
      <c r="FH13" s="24"/>
      <c r="FI13" s="24"/>
      <c r="FJ13" s="24"/>
      <c r="FK13" s="24"/>
      <c r="FL13" s="24"/>
    </row>
    <row r="14" spans="1:190" ht="15.75" customHeight="1">
      <c r="A14" s="176"/>
      <c r="B14" s="177"/>
      <c r="C14" s="177"/>
      <c r="D14" s="177"/>
      <c r="E14" s="177"/>
      <c r="F14" s="177"/>
      <c r="G14" s="178"/>
      <c r="H14" s="179"/>
      <c r="J14" s="185"/>
      <c r="O14" s="182"/>
      <c r="P14" s="182"/>
      <c r="Q14" s="1"/>
      <c r="AC14" s="180"/>
      <c r="AD14" s="180"/>
      <c r="AE14" s="180"/>
      <c r="AJ14" s="191"/>
      <c r="BS14" s="181"/>
      <c r="CC14" s="24"/>
      <c r="CD14" s="24"/>
      <c r="CE14" s="24"/>
      <c r="CF14" s="24"/>
      <c r="CG14" s="24"/>
      <c r="CH14" s="24"/>
      <c r="CI14" s="24"/>
      <c r="CJ14" s="24"/>
      <c r="DE14" s="24"/>
      <c r="DF14" s="24"/>
      <c r="DG14" s="24"/>
      <c r="DH14" s="24"/>
      <c r="DI14" s="24"/>
      <c r="DJ14" s="24"/>
      <c r="DK14" s="24"/>
      <c r="DL14" s="24"/>
      <c r="DM14" s="24"/>
      <c r="DN14" s="24"/>
      <c r="DO14" s="24"/>
      <c r="DP14" s="24"/>
      <c r="DQ14" s="24"/>
      <c r="DR14" s="24"/>
      <c r="DS14" s="24"/>
      <c r="DT14" s="24"/>
      <c r="DU14" s="24"/>
      <c r="DV14" s="24"/>
      <c r="DW14" s="24"/>
      <c r="DX14" s="24"/>
      <c r="DY14" s="24"/>
      <c r="DZ14" s="24"/>
      <c r="EA14" s="24"/>
      <c r="EB14" s="24"/>
      <c r="EC14" s="24"/>
      <c r="ED14" s="24"/>
      <c r="EE14" s="24"/>
      <c r="EF14" s="24"/>
      <c r="EG14" s="24"/>
      <c r="EH14" s="24"/>
      <c r="EI14" s="24"/>
      <c r="EJ14" s="24"/>
      <c r="EK14" s="24"/>
      <c r="EL14" s="24"/>
      <c r="EM14" s="24"/>
      <c r="EN14" s="24"/>
      <c r="EO14" s="24"/>
      <c r="EP14" s="24"/>
      <c r="EQ14" s="24"/>
      <c r="ER14" s="24"/>
      <c r="ES14" s="24"/>
      <c r="ET14" s="24"/>
      <c r="EU14" s="24"/>
      <c r="EV14" s="24"/>
      <c r="EW14" s="24"/>
      <c r="EX14" s="24"/>
      <c r="EY14" s="24"/>
      <c r="EZ14" s="24"/>
      <c r="FA14" s="24"/>
      <c r="FB14" s="24"/>
      <c r="FC14" s="24"/>
      <c r="FD14" s="24"/>
      <c r="FE14" s="24"/>
      <c r="FF14" s="24"/>
      <c r="FG14" s="24"/>
      <c r="FH14" s="24"/>
      <c r="FI14" s="24"/>
      <c r="FJ14" s="24"/>
      <c r="FK14" s="24"/>
      <c r="FL14" s="24"/>
    </row>
    <row r="15" spans="1:190" ht="15.75" customHeight="1">
      <c r="A15" s="176"/>
      <c r="B15" s="177"/>
      <c r="C15" s="177"/>
      <c r="D15" s="177"/>
      <c r="E15" s="177"/>
      <c r="F15" s="177"/>
      <c r="G15" s="178"/>
      <c r="H15" s="179"/>
      <c r="J15" s="185"/>
      <c r="O15" s="182"/>
      <c r="P15" s="182"/>
      <c r="Q15" s="1"/>
      <c r="AC15" s="180"/>
      <c r="AD15" s="180"/>
      <c r="AE15" s="180"/>
      <c r="AJ15" s="191"/>
      <c r="BS15" s="181"/>
      <c r="CC15" s="24"/>
      <c r="CD15" s="24"/>
      <c r="CE15" s="24"/>
      <c r="CF15" s="24"/>
      <c r="CG15" s="24"/>
      <c r="CH15" s="24"/>
      <c r="CI15" s="24"/>
      <c r="CJ15" s="24"/>
      <c r="DE15" s="24"/>
      <c r="DF15" s="24"/>
      <c r="DG15" s="24"/>
      <c r="DH15" s="24"/>
      <c r="DI15" s="24"/>
      <c r="DJ15" s="24"/>
      <c r="DK15" s="24"/>
      <c r="DL15" s="24"/>
      <c r="DM15" s="24"/>
      <c r="DN15" s="24"/>
      <c r="DO15" s="24"/>
      <c r="DP15" s="24"/>
      <c r="DQ15" s="24"/>
      <c r="DR15" s="24"/>
      <c r="DS15" s="24"/>
      <c r="DT15" s="24"/>
      <c r="DU15" s="24"/>
      <c r="DV15" s="24"/>
      <c r="DW15" s="24"/>
      <c r="DX15" s="24"/>
      <c r="DY15" s="24"/>
      <c r="DZ15" s="24"/>
      <c r="EA15" s="24"/>
      <c r="EB15" s="24"/>
      <c r="EC15" s="24"/>
      <c r="ED15" s="24"/>
      <c r="EE15" s="24"/>
      <c r="EF15" s="24"/>
      <c r="EG15" s="24"/>
      <c r="EH15" s="24"/>
      <c r="EI15" s="24"/>
      <c r="EJ15" s="24"/>
      <c r="EK15" s="24"/>
      <c r="EL15" s="24"/>
      <c r="EM15" s="24"/>
      <c r="EN15" s="24"/>
      <c r="EO15" s="24"/>
      <c r="EP15" s="24"/>
      <c r="EQ15" s="24"/>
      <c r="ER15" s="24"/>
      <c r="ES15" s="24"/>
      <c r="ET15" s="24"/>
      <c r="EU15" s="24"/>
      <c r="EV15" s="24"/>
      <c r="EW15" s="24"/>
      <c r="EX15" s="24"/>
      <c r="EY15" s="24"/>
      <c r="EZ15" s="24"/>
      <c r="FA15" s="24"/>
      <c r="FB15" s="24"/>
      <c r="FC15" s="24"/>
      <c r="FD15" s="24"/>
      <c r="FE15" s="24"/>
      <c r="FF15" s="24"/>
      <c r="FG15" s="24"/>
      <c r="FH15" s="24"/>
      <c r="FI15" s="24"/>
      <c r="FJ15" s="24"/>
      <c r="FK15" s="24"/>
      <c r="FL15" s="24"/>
    </row>
    <row r="16" spans="1:190" ht="15.75" customHeight="1">
      <c r="A16" s="176"/>
      <c r="B16" s="177"/>
      <c r="C16" s="177"/>
      <c r="D16" s="177"/>
      <c r="E16" s="177"/>
      <c r="F16" s="177"/>
      <c r="G16" s="178"/>
      <c r="H16" s="179"/>
      <c r="J16" s="185"/>
      <c r="O16" s="182"/>
      <c r="P16" s="182"/>
      <c r="Q16" s="1"/>
      <c r="AC16" s="180"/>
      <c r="AD16" s="180"/>
      <c r="AE16" s="180"/>
      <c r="AJ16" s="191"/>
      <c r="BS16" s="181"/>
      <c r="CC16" s="24"/>
      <c r="CD16" s="24"/>
      <c r="CE16" s="24"/>
      <c r="CF16" s="24"/>
      <c r="CG16" s="24"/>
      <c r="CH16" s="24"/>
      <c r="CI16" s="24"/>
      <c r="CJ16" s="24"/>
      <c r="DE16" s="24"/>
      <c r="DF16" s="24"/>
      <c r="DG16" s="24"/>
      <c r="DH16" s="24"/>
      <c r="DI16" s="24"/>
      <c r="DJ16" s="24"/>
      <c r="DK16" s="24"/>
      <c r="DL16" s="24"/>
      <c r="DM16" s="24"/>
      <c r="DN16" s="24"/>
      <c r="DO16" s="24"/>
      <c r="DP16" s="24"/>
      <c r="DQ16" s="24"/>
      <c r="DR16" s="24"/>
      <c r="DS16" s="24"/>
      <c r="DT16" s="24"/>
      <c r="DU16" s="24"/>
      <c r="DV16" s="24"/>
      <c r="DW16" s="24"/>
      <c r="DX16" s="24"/>
      <c r="DY16" s="24"/>
      <c r="DZ16" s="24"/>
      <c r="EA16" s="24"/>
      <c r="EB16" s="24"/>
      <c r="EC16" s="24"/>
      <c r="ED16" s="24"/>
      <c r="EE16" s="24"/>
      <c r="EF16" s="24"/>
      <c r="EG16" s="24"/>
      <c r="EH16" s="24"/>
      <c r="EI16" s="24"/>
      <c r="EJ16" s="24"/>
      <c r="EK16" s="24"/>
      <c r="EL16" s="24"/>
      <c r="EM16" s="24"/>
      <c r="EN16" s="24"/>
      <c r="EO16" s="24"/>
      <c r="EP16" s="24"/>
      <c r="EQ16" s="24"/>
      <c r="ER16" s="24"/>
      <c r="ES16" s="24"/>
      <c r="ET16" s="24"/>
      <c r="EU16" s="24"/>
      <c r="EV16" s="24"/>
      <c r="EW16" s="24"/>
      <c r="EX16" s="24"/>
      <c r="EY16" s="24"/>
      <c r="EZ16" s="24"/>
      <c r="FA16" s="24"/>
      <c r="FB16" s="24"/>
      <c r="FC16" s="24"/>
      <c r="FD16" s="24"/>
      <c r="FE16" s="24"/>
      <c r="FF16" s="24"/>
      <c r="FG16" s="24"/>
      <c r="FH16" s="24"/>
      <c r="FI16" s="24"/>
      <c r="FJ16" s="24"/>
      <c r="FK16" s="24"/>
      <c r="FL16" s="24"/>
    </row>
    <row r="17" spans="1:168" ht="15.75" customHeight="1">
      <c r="A17" s="176"/>
      <c r="B17" s="177"/>
      <c r="C17" s="177"/>
      <c r="D17" s="177"/>
      <c r="E17" s="177"/>
      <c r="F17" s="177"/>
      <c r="G17" s="178"/>
      <c r="H17" s="179"/>
      <c r="J17" s="185"/>
      <c r="O17" s="182"/>
      <c r="P17" s="182"/>
      <c r="Q17" s="1"/>
      <c r="AC17" s="180"/>
      <c r="AD17" s="180"/>
      <c r="AE17" s="180"/>
      <c r="AJ17" s="191"/>
      <c r="BS17" s="181"/>
      <c r="CC17" s="24"/>
      <c r="CD17" s="24"/>
      <c r="CE17" s="24"/>
      <c r="CF17" s="24"/>
      <c r="CG17" s="24"/>
      <c r="CH17" s="24"/>
      <c r="CI17" s="24"/>
      <c r="CJ17" s="24"/>
      <c r="DE17" s="24"/>
      <c r="DF17" s="24"/>
      <c r="DG17" s="24"/>
      <c r="DH17" s="24"/>
      <c r="DI17" s="24"/>
      <c r="DJ17" s="24"/>
      <c r="DK17" s="24"/>
      <c r="DL17" s="24"/>
      <c r="DM17" s="24"/>
      <c r="DN17" s="24"/>
      <c r="DO17" s="24"/>
      <c r="DP17" s="24"/>
      <c r="DQ17" s="24"/>
      <c r="DR17" s="24"/>
      <c r="DS17" s="24"/>
      <c r="DT17" s="24"/>
      <c r="DU17" s="24"/>
      <c r="DV17" s="24"/>
      <c r="DW17" s="24"/>
      <c r="DX17" s="24"/>
      <c r="DY17" s="24"/>
      <c r="DZ17" s="24"/>
      <c r="EA17" s="24"/>
      <c r="EB17" s="24"/>
      <c r="EC17" s="24"/>
      <c r="ED17" s="24"/>
      <c r="EE17" s="24"/>
      <c r="EF17" s="24"/>
      <c r="EG17" s="24"/>
      <c r="EH17" s="24"/>
      <c r="EI17" s="24"/>
      <c r="EJ17" s="24"/>
      <c r="EK17" s="24"/>
      <c r="EL17" s="24"/>
      <c r="EM17" s="24"/>
      <c r="EN17" s="24"/>
      <c r="EO17" s="24"/>
      <c r="EP17" s="24"/>
      <c r="EQ17" s="24"/>
      <c r="ER17" s="24"/>
      <c r="ES17" s="24"/>
      <c r="ET17" s="24"/>
      <c r="EU17" s="24"/>
      <c r="EV17" s="24"/>
      <c r="EW17" s="24"/>
      <c r="EX17" s="24"/>
      <c r="EY17" s="24"/>
      <c r="EZ17" s="24"/>
      <c r="FA17" s="24"/>
      <c r="FB17" s="24"/>
      <c r="FC17" s="24"/>
      <c r="FD17" s="24"/>
      <c r="FE17" s="24"/>
      <c r="FF17" s="24"/>
      <c r="FG17" s="24"/>
      <c r="FH17" s="24"/>
      <c r="FI17" s="24"/>
      <c r="FJ17" s="24"/>
      <c r="FK17" s="24"/>
      <c r="FL17" s="24"/>
    </row>
    <row r="18" spans="1:168" ht="15.75" customHeight="1">
      <c r="A18" s="176"/>
      <c r="B18" s="177"/>
      <c r="C18" s="177"/>
      <c r="D18" s="177"/>
      <c r="E18" s="177"/>
      <c r="F18" s="177"/>
      <c r="G18" s="178"/>
      <c r="H18" s="179"/>
      <c r="J18" s="185"/>
      <c r="O18" s="182"/>
      <c r="P18" s="182"/>
      <c r="Q18" s="1"/>
      <c r="AC18" s="180"/>
      <c r="AD18" s="180"/>
      <c r="AE18" s="180"/>
      <c r="AJ18" s="191"/>
      <c r="BS18" s="181"/>
      <c r="CC18" s="24"/>
      <c r="CD18" s="24"/>
      <c r="CE18" s="24"/>
      <c r="CF18" s="24"/>
      <c r="CG18" s="24"/>
      <c r="CH18" s="24"/>
      <c r="CI18" s="24"/>
      <c r="CJ18" s="24"/>
      <c r="DE18" s="24"/>
      <c r="DF18" s="24"/>
      <c r="DG18" s="24"/>
      <c r="DH18" s="24"/>
      <c r="DI18" s="24"/>
      <c r="DJ18" s="24"/>
      <c r="DK18" s="24"/>
      <c r="DL18" s="24"/>
      <c r="DM18" s="24"/>
      <c r="DN18" s="24"/>
      <c r="DO18" s="24"/>
      <c r="DP18" s="24"/>
      <c r="DQ18" s="24"/>
      <c r="DR18" s="24"/>
      <c r="DS18" s="24"/>
      <c r="DT18" s="24"/>
      <c r="DU18" s="24"/>
      <c r="DV18" s="24"/>
      <c r="DW18" s="24"/>
      <c r="DX18" s="24"/>
      <c r="DY18" s="24"/>
      <c r="DZ18" s="24"/>
      <c r="EA18" s="24"/>
      <c r="EB18" s="24"/>
      <c r="EC18" s="24"/>
      <c r="ED18" s="24"/>
      <c r="EE18" s="24"/>
      <c r="EF18" s="24"/>
      <c r="EG18" s="24"/>
      <c r="EH18" s="24"/>
      <c r="EI18" s="24"/>
      <c r="EJ18" s="24"/>
      <c r="EK18" s="24"/>
      <c r="EL18" s="24"/>
      <c r="EM18" s="24"/>
      <c r="EN18" s="24"/>
      <c r="EO18" s="24"/>
      <c r="EP18" s="24"/>
      <c r="EQ18" s="24"/>
      <c r="ER18" s="24"/>
      <c r="ES18" s="24"/>
      <c r="ET18" s="24"/>
      <c r="EU18" s="24"/>
      <c r="EV18" s="24"/>
      <c r="EW18" s="24"/>
      <c r="EX18" s="24"/>
      <c r="EY18" s="24"/>
      <c r="EZ18" s="24"/>
      <c r="FA18" s="24"/>
      <c r="FB18" s="24"/>
      <c r="FC18" s="24"/>
      <c r="FD18" s="24"/>
      <c r="FE18" s="24"/>
      <c r="FF18" s="24"/>
      <c r="FG18" s="24"/>
      <c r="FH18" s="24"/>
      <c r="FI18" s="24"/>
      <c r="FJ18" s="24"/>
      <c r="FK18" s="24"/>
      <c r="FL18" s="24"/>
    </row>
    <row r="19" spans="1:168" ht="15.75" customHeight="1">
      <c r="A19" s="176"/>
      <c r="B19" s="177"/>
      <c r="C19" s="177"/>
      <c r="D19" s="177"/>
      <c r="E19" s="177"/>
      <c r="F19" s="177"/>
      <c r="G19" s="178"/>
      <c r="H19" s="179"/>
      <c r="J19" s="185"/>
      <c r="O19" s="182"/>
      <c r="P19" s="182"/>
      <c r="Q19" s="1"/>
      <c r="AC19" s="180"/>
      <c r="AD19" s="180"/>
      <c r="AE19" s="180"/>
      <c r="AJ19" s="191"/>
      <c r="BS19" s="181"/>
      <c r="CC19" s="24"/>
      <c r="CD19" s="24"/>
      <c r="CE19" s="24"/>
      <c r="CF19" s="24"/>
      <c r="CG19" s="24"/>
      <c r="CH19" s="24"/>
      <c r="CI19" s="24"/>
      <c r="CJ19" s="24"/>
      <c r="DE19" s="24"/>
      <c r="DF19" s="24"/>
      <c r="DG19" s="24"/>
      <c r="DH19" s="24"/>
      <c r="DI19" s="24"/>
      <c r="DJ19" s="24"/>
      <c r="DK19" s="24"/>
      <c r="DL19" s="24"/>
      <c r="DM19" s="24"/>
      <c r="DN19" s="24"/>
      <c r="DO19" s="24"/>
      <c r="DP19" s="24"/>
      <c r="DQ19" s="24"/>
      <c r="DR19" s="24"/>
      <c r="DS19" s="24"/>
      <c r="DT19" s="24"/>
      <c r="DU19" s="24"/>
      <c r="DV19" s="24"/>
      <c r="DW19" s="24"/>
      <c r="DX19" s="24"/>
      <c r="DY19" s="24"/>
      <c r="DZ19" s="24"/>
      <c r="EA19" s="24"/>
      <c r="EB19" s="24"/>
      <c r="EC19" s="24"/>
      <c r="ED19" s="24"/>
      <c r="EE19" s="24"/>
      <c r="EF19" s="24"/>
      <c r="EG19" s="24"/>
      <c r="EH19" s="24"/>
      <c r="EI19" s="24"/>
      <c r="EJ19" s="24"/>
      <c r="EK19" s="24"/>
      <c r="EL19" s="24"/>
      <c r="EM19" s="24"/>
      <c r="EN19" s="24"/>
      <c r="EO19" s="24"/>
      <c r="EP19" s="24"/>
      <c r="EQ19" s="24"/>
      <c r="ER19" s="24"/>
      <c r="ES19" s="24"/>
      <c r="ET19" s="24"/>
      <c r="EU19" s="24"/>
      <c r="EV19" s="24"/>
      <c r="EW19" s="24"/>
      <c r="EX19" s="24"/>
      <c r="EY19" s="24"/>
      <c r="EZ19" s="24"/>
      <c r="FA19" s="24"/>
      <c r="FB19" s="24"/>
      <c r="FC19" s="24"/>
      <c r="FD19" s="24"/>
      <c r="FE19" s="24"/>
      <c r="FF19" s="24"/>
      <c r="FG19" s="24"/>
      <c r="FH19" s="24"/>
      <c r="FI19" s="24"/>
      <c r="FJ19" s="24"/>
      <c r="FK19" s="24"/>
      <c r="FL19" s="24"/>
    </row>
    <row r="20" spans="1:168" ht="15.75" customHeight="1">
      <c r="A20" s="176"/>
      <c r="B20" s="177"/>
      <c r="C20" s="177"/>
      <c r="D20" s="177"/>
      <c r="E20" s="177"/>
      <c r="F20" s="177"/>
      <c r="G20" s="178"/>
      <c r="H20" s="179"/>
      <c r="J20" s="185"/>
      <c r="O20" s="182"/>
      <c r="P20" s="182"/>
      <c r="Q20" s="1"/>
      <c r="AC20" s="180"/>
      <c r="AD20" s="180"/>
      <c r="AE20" s="180"/>
      <c r="AJ20" s="191"/>
      <c r="BS20" s="181"/>
      <c r="CC20" s="24"/>
      <c r="CD20" s="24"/>
      <c r="CE20" s="24"/>
      <c r="CF20" s="24"/>
      <c r="CG20" s="24"/>
      <c r="CH20" s="24"/>
      <c r="CI20" s="24"/>
      <c r="CJ20" s="24"/>
      <c r="DE20" s="24"/>
      <c r="DF20" s="24"/>
      <c r="DG20" s="24"/>
      <c r="DH20" s="24"/>
      <c r="DI20" s="24"/>
      <c r="DJ20" s="24"/>
      <c r="DK20" s="24"/>
      <c r="DL20" s="24"/>
      <c r="DM20" s="24"/>
      <c r="DN20" s="24"/>
      <c r="DO20" s="24"/>
      <c r="DP20" s="24"/>
      <c r="DQ20" s="24"/>
      <c r="DR20" s="24"/>
      <c r="DS20" s="24"/>
      <c r="DT20" s="24"/>
      <c r="DU20" s="24"/>
      <c r="DV20" s="24"/>
      <c r="DW20" s="24"/>
      <c r="DX20" s="24"/>
      <c r="DY20" s="24"/>
      <c r="DZ20" s="24"/>
      <c r="EA20" s="24"/>
      <c r="EB20" s="24"/>
      <c r="EC20" s="24"/>
      <c r="ED20" s="24"/>
      <c r="EE20" s="24"/>
      <c r="EF20" s="24"/>
      <c r="EG20" s="24"/>
      <c r="EH20" s="24"/>
      <c r="EI20" s="24"/>
      <c r="EJ20" s="24"/>
      <c r="EK20" s="24"/>
      <c r="EL20" s="24"/>
      <c r="EM20" s="24"/>
      <c r="EN20" s="24"/>
      <c r="EO20" s="24"/>
      <c r="EP20" s="24"/>
      <c r="EQ20" s="24"/>
      <c r="ER20" s="24"/>
      <c r="ES20" s="24"/>
      <c r="ET20" s="24"/>
      <c r="EU20" s="24"/>
      <c r="EV20" s="24"/>
      <c r="EW20" s="24"/>
      <c r="EX20" s="24"/>
      <c r="EY20" s="24"/>
      <c r="EZ20" s="24"/>
      <c r="FA20" s="24"/>
      <c r="FB20" s="24"/>
      <c r="FC20" s="24"/>
      <c r="FD20" s="24"/>
      <c r="FE20" s="24"/>
      <c r="FF20" s="24"/>
      <c r="FG20" s="24"/>
      <c r="FH20" s="24"/>
      <c r="FI20" s="24"/>
      <c r="FJ20" s="24"/>
      <c r="FK20" s="24"/>
      <c r="FL20" s="24"/>
    </row>
    <row r="21" spans="1:168" ht="15.75" customHeight="1">
      <c r="A21" s="176"/>
      <c r="B21" s="177"/>
      <c r="C21" s="177"/>
      <c r="D21" s="177"/>
      <c r="E21" s="177"/>
      <c r="F21" s="177"/>
      <c r="G21" s="178"/>
      <c r="H21" s="179"/>
      <c r="J21" s="185"/>
      <c r="O21" s="182"/>
      <c r="P21" s="182"/>
      <c r="Q21" s="1"/>
      <c r="AC21" s="180"/>
      <c r="AD21" s="180"/>
      <c r="AE21" s="180"/>
      <c r="AJ21" s="191"/>
      <c r="BS21" s="181"/>
      <c r="CC21" s="24"/>
      <c r="CD21" s="24"/>
      <c r="CE21" s="24"/>
      <c r="CF21" s="24"/>
      <c r="CG21" s="24"/>
      <c r="CH21" s="24"/>
      <c r="CI21" s="24"/>
      <c r="CJ21" s="24"/>
      <c r="DE21" s="24"/>
      <c r="DF21" s="24"/>
      <c r="DG21" s="24"/>
      <c r="DH21" s="24"/>
      <c r="DI21" s="24"/>
      <c r="DJ21" s="24"/>
      <c r="DK21" s="24"/>
      <c r="DL21" s="24"/>
      <c r="DM21" s="24"/>
      <c r="DN21" s="24"/>
      <c r="DO21" s="24"/>
      <c r="DP21" s="24"/>
      <c r="DQ21" s="24"/>
      <c r="DR21" s="24"/>
      <c r="DS21" s="24"/>
      <c r="DT21" s="24"/>
      <c r="DU21" s="24"/>
      <c r="DV21" s="24"/>
      <c r="DW21" s="24"/>
      <c r="DX21" s="24"/>
      <c r="DY21" s="24"/>
      <c r="DZ21" s="24"/>
      <c r="EA21" s="24"/>
      <c r="EB21" s="24"/>
      <c r="EC21" s="24"/>
      <c r="ED21" s="24"/>
      <c r="EE21" s="24"/>
      <c r="EF21" s="24"/>
      <c r="EG21" s="24"/>
      <c r="EH21" s="24"/>
      <c r="EI21" s="24"/>
      <c r="EJ21" s="24"/>
      <c r="EK21" s="24"/>
      <c r="EL21" s="24"/>
      <c r="EM21" s="24"/>
      <c r="EN21" s="24"/>
      <c r="EO21" s="24"/>
      <c r="EP21" s="24"/>
      <c r="EQ21" s="24"/>
      <c r="ER21" s="24"/>
      <c r="ES21" s="24"/>
      <c r="ET21" s="24"/>
      <c r="EU21" s="24"/>
      <c r="EV21" s="24"/>
      <c r="EW21" s="24"/>
      <c r="EX21" s="24"/>
      <c r="EY21" s="24"/>
      <c r="EZ21" s="24"/>
      <c r="FA21" s="24"/>
      <c r="FB21" s="24"/>
      <c r="FC21" s="24"/>
      <c r="FD21" s="24"/>
      <c r="FE21" s="24"/>
      <c r="FF21" s="24"/>
      <c r="FG21" s="24"/>
      <c r="FH21" s="24"/>
      <c r="FI21" s="24"/>
      <c r="FJ21" s="24"/>
      <c r="FK21" s="24"/>
      <c r="FL21" s="24"/>
    </row>
    <row r="22" spans="1:168" ht="15.75" customHeight="1">
      <c r="A22" s="176"/>
      <c r="B22" s="177"/>
      <c r="C22" s="177"/>
      <c r="D22" s="177"/>
      <c r="E22" s="177"/>
      <c r="F22" s="177"/>
      <c r="G22" s="178"/>
      <c r="H22" s="179"/>
      <c r="J22" s="185"/>
      <c r="O22" s="182"/>
      <c r="P22" s="182"/>
      <c r="Q22" s="1"/>
      <c r="AC22" s="180"/>
      <c r="AD22" s="180"/>
      <c r="AE22" s="180"/>
      <c r="AJ22" s="191"/>
      <c r="BS22" s="181"/>
      <c r="CC22" s="24"/>
      <c r="CD22" s="24"/>
      <c r="CE22" s="24"/>
      <c r="CF22" s="24"/>
      <c r="CG22" s="24"/>
      <c r="CH22" s="24"/>
      <c r="CI22" s="24"/>
      <c r="CJ22" s="24"/>
      <c r="DE22" s="24"/>
      <c r="DF22" s="24"/>
      <c r="DG22" s="24"/>
      <c r="DH22" s="24"/>
      <c r="DI22" s="24"/>
      <c r="DJ22" s="24"/>
      <c r="DK22" s="24"/>
      <c r="DL22" s="24"/>
      <c r="DM22" s="24"/>
      <c r="DN22" s="24"/>
      <c r="DO22" s="24"/>
      <c r="DP22" s="24"/>
      <c r="DQ22" s="24"/>
      <c r="DR22" s="24"/>
      <c r="DS22" s="24"/>
      <c r="DT22" s="24"/>
      <c r="DU22" s="24"/>
      <c r="DV22" s="24"/>
      <c r="DW22" s="24"/>
      <c r="DX22" s="24"/>
      <c r="DY22" s="24"/>
      <c r="DZ22" s="24"/>
      <c r="EA22" s="24"/>
      <c r="EB22" s="24"/>
      <c r="EC22" s="24"/>
      <c r="ED22" s="24"/>
      <c r="EE22" s="24"/>
      <c r="EF22" s="24"/>
      <c r="EG22" s="24"/>
      <c r="EH22" s="24"/>
      <c r="EI22" s="24"/>
      <c r="EJ22" s="24"/>
      <c r="EK22" s="24"/>
      <c r="EL22" s="24"/>
      <c r="EM22" s="24"/>
      <c r="EN22" s="24"/>
      <c r="EO22" s="24"/>
      <c r="EP22" s="24"/>
      <c r="EQ22" s="24"/>
      <c r="ER22" s="24"/>
      <c r="ES22" s="24"/>
      <c r="ET22" s="24"/>
      <c r="EU22" s="24"/>
      <c r="EV22" s="24"/>
      <c r="EW22" s="24"/>
      <c r="EX22" s="24"/>
      <c r="EY22" s="24"/>
      <c r="EZ22" s="24"/>
      <c r="FA22" s="24"/>
      <c r="FB22" s="24"/>
      <c r="FC22" s="24"/>
      <c r="FD22" s="24"/>
      <c r="FE22" s="24"/>
      <c r="FF22" s="24"/>
      <c r="FG22" s="24"/>
      <c r="FH22" s="24"/>
      <c r="FI22" s="24"/>
      <c r="FJ22" s="24"/>
      <c r="FK22" s="24"/>
      <c r="FL22" s="24"/>
    </row>
    <row r="23" spans="1:168" ht="15.75" customHeight="1">
      <c r="A23" s="176"/>
      <c r="B23" s="177"/>
      <c r="C23" s="177"/>
      <c r="D23" s="177"/>
      <c r="E23" s="177"/>
      <c r="F23" s="177"/>
      <c r="G23" s="178"/>
      <c r="H23" s="179"/>
      <c r="J23" s="185"/>
      <c r="O23" s="182"/>
      <c r="P23" s="182"/>
      <c r="Q23" s="1"/>
      <c r="AC23" s="180"/>
      <c r="AD23" s="180"/>
      <c r="AE23" s="180"/>
      <c r="AJ23" s="191"/>
      <c r="BS23" s="181"/>
      <c r="CC23" s="24"/>
      <c r="CD23" s="24"/>
      <c r="CE23" s="24"/>
      <c r="CF23" s="24"/>
      <c r="CG23" s="24"/>
      <c r="CH23" s="24"/>
      <c r="CI23" s="24"/>
      <c r="CJ23" s="24"/>
      <c r="DE23" s="24"/>
      <c r="DF23" s="24"/>
      <c r="DG23" s="24"/>
      <c r="DH23" s="24"/>
      <c r="DI23" s="24"/>
      <c r="DJ23" s="24"/>
      <c r="DK23" s="24"/>
      <c r="DL23" s="24"/>
      <c r="DM23" s="24"/>
      <c r="DN23" s="24"/>
      <c r="DO23" s="24"/>
      <c r="DP23" s="24"/>
      <c r="DQ23" s="24"/>
      <c r="DR23" s="24"/>
      <c r="DS23" s="24"/>
      <c r="DT23" s="24"/>
      <c r="DU23" s="24"/>
      <c r="DV23" s="24"/>
      <c r="DW23" s="24"/>
      <c r="DX23" s="24"/>
      <c r="DY23" s="24"/>
      <c r="DZ23" s="24"/>
      <c r="EA23" s="24"/>
      <c r="EB23" s="24"/>
      <c r="EC23" s="24"/>
      <c r="ED23" s="24"/>
      <c r="EE23" s="24"/>
      <c r="EF23" s="24"/>
      <c r="EG23" s="24"/>
      <c r="EH23" s="24"/>
      <c r="EI23" s="24"/>
      <c r="EJ23" s="24"/>
      <c r="EK23" s="24"/>
      <c r="EL23" s="24"/>
      <c r="EM23" s="24"/>
      <c r="EN23" s="24"/>
      <c r="EO23" s="24"/>
      <c r="EP23" s="24"/>
      <c r="EQ23" s="24"/>
      <c r="ER23" s="24"/>
      <c r="ES23" s="24"/>
      <c r="ET23" s="24"/>
      <c r="EU23" s="24"/>
      <c r="EV23" s="24"/>
      <c r="EW23" s="24"/>
      <c r="EX23" s="24"/>
      <c r="EY23" s="24"/>
      <c r="EZ23" s="24"/>
      <c r="FA23" s="24"/>
      <c r="FB23" s="24"/>
      <c r="FC23" s="24"/>
      <c r="FD23" s="24"/>
      <c r="FE23" s="24"/>
      <c r="FF23" s="24"/>
      <c r="FG23" s="24"/>
      <c r="FH23" s="24"/>
      <c r="FI23" s="24"/>
      <c r="FJ23" s="24"/>
      <c r="FK23" s="24"/>
      <c r="FL23" s="24"/>
    </row>
    <row r="24" spans="1:168" ht="15.75" customHeight="1">
      <c r="A24" s="176"/>
      <c r="B24" s="177"/>
      <c r="C24" s="177"/>
      <c r="D24" s="177"/>
      <c r="E24" s="177"/>
      <c r="F24" s="177"/>
      <c r="G24" s="178"/>
      <c r="H24" s="179"/>
      <c r="J24" s="185"/>
      <c r="O24" s="182"/>
      <c r="P24" s="182"/>
      <c r="Q24" s="1"/>
      <c r="AC24" s="180"/>
      <c r="AD24" s="180"/>
      <c r="AE24" s="180"/>
      <c r="AJ24" s="191"/>
      <c r="BS24" s="181"/>
      <c r="CC24" s="24"/>
      <c r="CD24" s="24"/>
      <c r="CE24" s="24"/>
      <c r="CF24" s="24"/>
      <c r="CG24" s="24"/>
      <c r="CH24" s="24"/>
      <c r="CI24" s="24"/>
      <c r="CJ24" s="24"/>
      <c r="DE24" s="24"/>
      <c r="DF24" s="24"/>
      <c r="DG24" s="24"/>
      <c r="DH24" s="24"/>
      <c r="DI24" s="24"/>
      <c r="DJ24" s="24"/>
      <c r="DK24" s="24"/>
      <c r="DL24" s="24"/>
      <c r="DM24" s="24"/>
      <c r="DN24" s="24"/>
      <c r="DO24" s="24"/>
      <c r="DP24" s="24"/>
      <c r="DQ24" s="24"/>
      <c r="DR24" s="24"/>
      <c r="DS24" s="24"/>
      <c r="DT24" s="24"/>
      <c r="DU24" s="24"/>
      <c r="DV24" s="24"/>
      <c r="DW24" s="24"/>
      <c r="DX24" s="24"/>
      <c r="DY24" s="24"/>
      <c r="DZ24" s="24"/>
      <c r="EA24" s="24"/>
      <c r="EB24" s="24"/>
      <c r="EC24" s="24"/>
      <c r="ED24" s="24"/>
      <c r="EE24" s="24"/>
      <c r="EF24" s="24"/>
      <c r="EG24" s="24"/>
      <c r="EH24" s="24"/>
      <c r="EI24" s="24"/>
      <c r="EJ24" s="24"/>
      <c r="EK24" s="24"/>
      <c r="EL24" s="24"/>
      <c r="EM24" s="24"/>
      <c r="EN24" s="24"/>
      <c r="EO24" s="24"/>
      <c r="EP24" s="24"/>
      <c r="EQ24" s="24"/>
      <c r="ER24" s="24"/>
      <c r="ES24" s="24"/>
      <c r="ET24" s="24"/>
      <c r="EU24" s="24"/>
      <c r="EV24" s="24"/>
      <c r="EW24" s="24"/>
      <c r="EX24" s="24"/>
      <c r="EY24" s="24"/>
      <c r="EZ24" s="24"/>
      <c r="FA24" s="24"/>
      <c r="FB24" s="24"/>
      <c r="FC24" s="24"/>
      <c r="FD24" s="24"/>
      <c r="FE24" s="24"/>
      <c r="FF24" s="24"/>
      <c r="FG24" s="24"/>
      <c r="FH24" s="24"/>
      <c r="FI24" s="24"/>
      <c r="FJ24" s="24"/>
      <c r="FK24" s="24"/>
      <c r="FL24" s="24"/>
    </row>
    <row r="25" spans="1:168" ht="15.75" customHeight="1">
      <c r="A25" s="176"/>
      <c r="B25" s="177"/>
      <c r="C25" s="177"/>
      <c r="D25" s="177"/>
      <c r="E25" s="177"/>
      <c r="F25" s="177"/>
      <c r="G25" s="178"/>
      <c r="H25" s="179"/>
      <c r="J25" s="185"/>
      <c r="O25" s="182"/>
      <c r="P25" s="182"/>
      <c r="Q25" s="1"/>
      <c r="AC25" s="180"/>
      <c r="AD25" s="180"/>
      <c r="AE25" s="180"/>
      <c r="AJ25" s="191"/>
      <c r="BS25" s="181"/>
      <c r="CC25" s="24"/>
      <c r="CD25" s="24"/>
      <c r="CE25" s="24"/>
      <c r="CF25" s="24"/>
      <c r="CG25" s="24"/>
      <c r="CH25" s="24"/>
      <c r="CI25" s="24"/>
      <c r="CJ25" s="24"/>
      <c r="DE25" s="24"/>
      <c r="DF25" s="24"/>
      <c r="DG25" s="24"/>
      <c r="DH25" s="24"/>
      <c r="DI25" s="24"/>
      <c r="DJ25" s="24"/>
      <c r="DK25" s="24"/>
      <c r="DL25" s="24"/>
      <c r="DM25" s="24"/>
      <c r="DN25" s="24"/>
      <c r="DO25" s="24"/>
      <c r="DP25" s="24"/>
      <c r="DQ25" s="24"/>
      <c r="DR25" s="24"/>
      <c r="DS25" s="24"/>
      <c r="DT25" s="24"/>
      <c r="DU25" s="24"/>
      <c r="DV25" s="24"/>
      <c r="DW25" s="24"/>
      <c r="DX25" s="24"/>
      <c r="DY25" s="24"/>
      <c r="DZ25" s="24"/>
      <c r="EA25" s="24"/>
      <c r="EB25" s="24"/>
      <c r="EC25" s="24"/>
      <c r="ED25" s="24"/>
      <c r="EE25" s="24"/>
      <c r="EF25" s="24"/>
      <c r="EG25" s="24"/>
      <c r="EH25" s="24"/>
      <c r="EI25" s="24"/>
      <c r="EJ25" s="24"/>
      <c r="EK25" s="24"/>
      <c r="EL25" s="24"/>
      <c r="EM25" s="24"/>
      <c r="EN25" s="24"/>
      <c r="EO25" s="24"/>
      <c r="EP25" s="24"/>
      <c r="EQ25" s="24"/>
      <c r="ER25" s="24"/>
      <c r="ES25" s="24"/>
      <c r="ET25" s="24"/>
      <c r="EU25" s="24"/>
      <c r="EV25" s="24"/>
      <c r="EW25" s="24"/>
      <c r="EX25" s="24"/>
      <c r="EY25" s="24"/>
      <c r="EZ25" s="24"/>
      <c r="FA25" s="24"/>
      <c r="FB25" s="24"/>
      <c r="FC25" s="24"/>
      <c r="FD25" s="24"/>
      <c r="FE25" s="24"/>
      <c r="FF25" s="24"/>
      <c r="FG25" s="24"/>
      <c r="FH25" s="24"/>
      <c r="FI25" s="24"/>
      <c r="FJ25" s="24"/>
      <c r="FK25" s="24"/>
      <c r="FL25" s="24"/>
    </row>
    <row r="26" spans="1:168" ht="15.75" customHeight="1">
      <c r="A26" s="176"/>
      <c r="B26" s="177"/>
      <c r="C26" s="177"/>
      <c r="D26" s="177"/>
      <c r="E26" s="177"/>
      <c r="F26" s="177"/>
      <c r="G26" s="178"/>
      <c r="H26" s="179"/>
      <c r="J26" s="185"/>
      <c r="O26" s="182"/>
      <c r="P26" s="182"/>
      <c r="Q26" s="1"/>
      <c r="AC26" s="180"/>
      <c r="AD26" s="180"/>
      <c r="AE26" s="180"/>
      <c r="AJ26" s="191"/>
      <c r="BS26" s="181"/>
      <c r="CC26" s="24"/>
      <c r="CD26" s="24"/>
      <c r="CE26" s="24"/>
      <c r="CF26" s="24"/>
      <c r="CG26" s="24"/>
      <c r="CH26" s="24"/>
      <c r="CI26" s="24"/>
      <c r="CJ26" s="24"/>
      <c r="DE26" s="24"/>
      <c r="DF26" s="24"/>
      <c r="DG26" s="24"/>
      <c r="DH26" s="24"/>
      <c r="DI26" s="24"/>
      <c r="DJ26" s="24"/>
      <c r="DK26" s="24"/>
      <c r="DL26" s="24"/>
      <c r="DM26" s="24"/>
      <c r="DN26" s="24"/>
      <c r="DO26" s="24"/>
      <c r="DP26" s="24"/>
      <c r="DQ26" s="24"/>
      <c r="DR26" s="24"/>
      <c r="DS26" s="24"/>
      <c r="DT26" s="24"/>
      <c r="DU26" s="24"/>
      <c r="DV26" s="24"/>
      <c r="DW26" s="24"/>
      <c r="DX26" s="24"/>
      <c r="DY26" s="24"/>
      <c r="DZ26" s="24"/>
      <c r="EA26" s="24"/>
      <c r="EB26" s="24"/>
      <c r="EC26" s="24"/>
      <c r="ED26" s="24"/>
      <c r="EE26" s="24"/>
      <c r="EF26" s="24"/>
      <c r="EG26" s="24"/>
      <c r="EH26" s="24"/>
      <c r="EI26" s="24"/>
      <c r="EJ26" s="24"/>
      <c r="EK26" s="24"/>
      <c r="EL26" s="24"/>
      <c r="EM26" s="24"/>
      <c r="EN26" s="24"/>
      <c r="EO26" s="24"/>
      <c r="EP26" s="24"/>
      <c r="EQ26" s="24"/>
      <c r="ER26" s="24"/>
      <c r="ES26" s="24"/>
      <c r="ET26" s="24"/>
      <c r="EU26" s="24"/>
      <c r="EV26" s="24"/>
      <c r="EW26" s="24"/>
      <c r="EX26" s="24"/>
      <c r="EY26" s="24"/>
      <c r="EZ26" s="24"/>
      <c r="FA26" s="24"/>
      <c r="FB26" s="24"/>
      <c r="FC26" s="24"/>
      <c r="FD26" s="24"/>
      <c r="FE26" s="24"/>
      <c r="FF26" s="24"/>
      <c r="FG26" s="24"/>
      <c r="FH26" s="24"/>
      <c r="FI26" s="24"/>
      <c r="FJ26" s="24"/>
      <c r="FK26" s="24"/>
      <c r="FL26" s="24"/>
    </row>
    <row r="27" spans="1:168" ht="15.75" customHeight="1">
      <c r="A27" s="176"/>
      <c r="B27" s="177"/>
      <c r="C27" s="177"/>
      <c r="D27" s="177"/>
      <c r="E27" s="177"/>
      <c r="F27" s="177"/>
      <c r="G27" s="178"/>
      <c r="H27" s="179"/>
      <c r="J27" s="185"/>
      <c r="O27" s="182"/>
      <c r="P27" s="182"/>
      <c r="Q27" s="1"/>
      <c r="AC27" s="180"/>
      <c r="AD27" s="180"/>
      <c r="AE27" s="180"/>
      <c r="AJ27" s="191"/>
      <c r="BS27" s="181"/>
      <c r="CC27" s="24"/>
      <c r="CD27" s="24"/>
      <c r="CE27" s="24"/>
      <c r="CF27" s="24"/>
      <c r="CG27" s="24"/>
      <c r="CH27" s="24"/>
      <c r="CI27" s="24"/>
      <c r="CJ27" s="24"/>
      <c r="DE27" s="24"/>
      <c r="DF27" s="24"/>
      <c r="DG27" s="24"/>
      <c r="DH27" s="24"/>
      <c r="DI27" s="24"/>
      <c r="DJ27" s="24"/>
      <c r="DK27" s="24"/>
      <c r="DL27" s="24"/>
      <c r="DM27" s="24"/>
      <c r="DN27" s="24"/>
      <c r="DO27" s="24"/>
      <c r="DP27" s="24"/>
      <c r="DQ27" s="24"/>
      <c r="DR27" s="24"/>
      <c r="DS27" s="24"/>
      <c r="DT27" s="24"/>
      <c r="DU27" s="24"/>
      <c r="DV27" s="24"/>
      <c r="DW27" s="24"/>
      <c r="DX27" s="24"/>
      <c r="DY27" s="24"/>
      <c r="DZ27" s="24"/>
      <c r="EA27" s="24"/>
      <c r="EB27" s="24"/>
      <c r="EC27" s="24"/>
      <c r="ED27" s="24"/>
      <c r="EE27" s="24"/>
      <c r="EF27" s="24"/>
      <c r="EG27" s="24"/>
      <c r="EH27" s="24"/>
      <c r="EI27" s="24"/>
      <c r="EJ27" s="24"/>
      <c r="EK27" s="24"/>
      <c r="EL27" s="24"/>
      <c r="EM27" s="24"/>
      <c r="EN27" s="24"/>
      <c r="EO27" s="24"/>
      <c r="EP27" s="24"/>
      <c r="EQ27" s="24"/>
      <c r="ER27" s="24"/>
      <c r="ES27" s="24"/>
      <c r="ET27" s="24"/>
      <c r="EU27" s="24"/>
      <c r="EV27" s="24"/>
      <c r="EW27" s="24"/>
      <c r="EX27" s="24"/>
      <c r="EY27" s="24"/>
      <c r="EZ27" s="24"/>
      <c r="FA27" s="24"/>
      <c r="FB27" s="24"/>
      <c r="FC27" s="24"/>
      <c r="FD27" s="24"/>
      <c r="FE27" s="24"/>
      <c r="FF27" s="24"/>
      <c r="FG27" s="24"/>
      <c r="FH27" s="24"/>
      <c r="FI27" s="24"/>
      <c r="FJ27" s="24"/>
      <c r="FK27" s="24"/>
      <c r="FL27" s="24"/>
    </row>
    <row r="28" spans="1:168" ht="15.75" customHeight="1">
      <c r="A28" s="176"/>
      <c r="B28" s="177"/>
      <c r="C28" s="177"/>
      <c r="D28" s="177"/>
      <c r="E28" s="177"/>
      <c r="F28" s="177"/>
      <c r="G28" s="178"/>
      <c r="H28" s="179"/>
      <c r="J28" s="185"/>
      <c r="O28" s="182"/>
      <c r="P28" s="182"/>
      <c r="Q28" s="1"/>
      <c r="AC28" s="180"/>
      <c r="AD28" s="180"/>
      <c r="AE28" s="180"/>
      <c r="AJ28" s="191"/>
      <c r="BS28" s="181"/>
      <c r="CC28" s="24"/>
      <c r="CD28" s="24"/>
      <c r="CE28" s="24"/>
      <c r="CF28" s="24"/>
      <c r="CG28" s="24"/>
      <c r="CH28" s="24"/>
      <c r="CI28" s="24"/>
      <c r="CJ28" s="24"/>
      <c r="DE28" s="24"/>
      <c r="DF28" s="24"/>
      <c r="DG28" s="24"/>
      <c r="DH28" s="24"/>
      <c r="DI28" s="24"/>
      <c r="DJ28" s="24"/>
      <c r="DK28" s="24"/>
      <c r="DL28" s="24"/>
      <c r="DM28" s="24"/>
      <c r="DN28" s="24"/>
      <c r="DO28" s="24"/>
      <c r="DP28" s="24"/>
      <c r="DQ28" s="24"/>
      <c r="DR28" s="24"/>
      <c r="DS28" s="24"/>
      <c r="DT28" s="24"/>
      <c r="DU28" s="24"/>
      <c r="DV28" s="24"/>
      <c r="DW28" s="24"/>
      <c r="DX28" s="24"/>
      <c r="DY28" s="24"/>
      <c r="DZ28" s="24"/>
      <c r="EA28" s="24"/>
      <c r="EB28" s="24"/>
      <c r="EC28" s="24"/>
      <c r="ED28" s="24"/>
      <c r="EE28" s="24"/>
      <c r="EF28" s="24"/>
      <c r="EG28" s="24"/>
      <c r="EH28" s="24"/>
      <c r="EI28" s="24"/>
      <c r="EJ28" s="24"/>
      <c r="EK28" s="24"/>
      <c r="EL28" s="24"/>
      <c r="EM28" s="24"/>
      <c r="EN28" s="24"/>
      <c r="EO28" s="24"/>
      <c r="EP28" s="24"/>
      <c r="EQ28" s="24"/>
      <c r="ER28" s="24"/>
      <c r="ES28" s="24"/>
      <c r="ET28" s="24"/>
      <c r="EU28" s="24"/>
      <c r="EV28" s="24"/>
      <c r="EW28" s="24"/>
      <c r="EX28" s="24"/>
      <c r="EY28" s="24"/>
      <c r="EZ28" s="24"/>
      <c r="FA28" s="24"/>
      <c r="FB28" s="24"/>
      <c r="FC28" s="24"/>
      <c r="FD28" s="24"/>
      <c r="FE28" s="24"/>
      <c r="FF28" s="24"/>
      <c r="FG28" s="24"/>
      <c r="FH28" s="24"/>
      <c r="FI28" s="24"/>
      <c r="FJ28" s="24"/>
      <c r="FK28" s="24"/>
      <c r="FL28" s="24"/>
    </row>
    <row r="29" spans="1:168" ht="15.75" customHeight="1">
      <c r="A29" s="176"/>
      <c r="B29" s="177"/>
      <c r="C29" s="177"/>
      <c r="D29" s="177"/>
      <c r="E29" s="177"/>
      <c r="F29" s="177"/>
      <c r="G29" s="178"/>
      <c r="H29" s="179"/>
      <c r="J29" s="185"/>
      <c r="O29" s="182"/>
      <c r="P29" s="182"/>
      <c r="Q29" s="1"/>
      <c r="AC29" s="180"/>
      <c r="AD29" s="180"/>
      <c r="AE29" s="180"/>
      <c r="AJ29" s="191"/>
      <c r="BS29" s="181"/>
      <c r="CC29" s="24"/>
      <c r="CD29" s="24"/>
      <c r="CE29" s="24"/>
      <c r="CF29" s="24"/>
      <c r="CG29" s="24"/>
      <c r="CH29" s="24"/>
      <c r="CI29" s="24"/>
      <c r="CJ29" s="24"/>
      <c r="DE29" s="24"/>
      <c r="DF29" s="24"/>
      <c r="DG29" s="24"/>
      <c r="DH29" s="24"/>
      <c r="DI29" s="24"/>
      <c r="DJ29" s="24"/>
      <c r="DK29" s="24"/>
      <c r="DL29" s="24"/>
      <c r="DM29" s="24"/>
      <c r="DN29" s="24"/>
      <c r="DO29" s="24"/>
      <c r="DP29" s="24"/>
      <c r="DQ29" s="24"/>
      <c r="DR29" s="24"/>
      <c r="DS29" s="24"/>
      <c r="DT29" s="24"/>
      <c r="DU29" s="24"/>
      <c r="DV29" s="24"/>
      <c r="DW29" s="24"/>
      <c r="DX29" s="24"/>
      <c r="DY29" s="24"/>
      <c r="DZ29" s="24"/>
      <c r="EA29" s="24"/>
      <c r="EB29" s="24"/>
      <c r="EC29" s="24"/>
      <c r="ED29" s="24"/>
      <c r="EE29" s="24"/>
      <c r="EF29" s="24"/>
      <c r="EG29" s="24"/>
      <c r="EH29" s="24"/>
      <c r="EI29" s="24"/>
      <c r="EJ29" s="24"/>
      <c r="EK29" s="24"/>
      <c r="EL29" s="24"/>
      <c r="EM29" s="24"/>
      <c r="EN29" s="24"/>
      <c r="EO29" s="24"/>
      <c r="EP29" s="24"/>
      <c r="EQ29" s="24"/>
      <c r="ER29" s="24"/>
      <c r="ES29" s="24"/>
      <c r="ET29" s="24"/>
      <c r="EU29" s="24"/>
      <c r="EV29" s="24"/>
      <c r="EW29" s="24"/>
      <c r="EX29" s="24"/>
      <c r="EY29" s="24"/>
      <c r="EZ29" s="24"/>
      <c r="FA29" s="24"/>
      <c r="FB29" s="24"/>
      <c r="FC29" s="24"/>
      <c r="FD29" s="24"/>
      <c r="FE29" s="24"/>
      <c r="FF29" s="24"/>
      <c r="FG29" s="24"/>
      <c r="FH29" s="24"/>
      <c r="FI29" s="24"/>
      <c r="FJ29" s="24"/>
      <c r="FK29" s="24"/>
      <c r="FL29" s="24"/>
    </row>
    <row r="30" spans="1:168" ht="15.75" customHeight="1">
      <c r="A30" s="176"/>
      <c r="B30" s="177"/>
      <c r="C30" s="177"/>
      <c r="D30" s="177"/>
      <c r="E30" s="177"/>
      <c r="F30" s="177"/>
      <c r="G30" s="178"/>
      <c r="H30" s="179"/>
      <c r="J30" s="185"/>
      <c r="O30" s="182"/>
      <c r="P30" s="182"/>
      <c r="Q30" s="1"/>
      <c r="AC30" s="180"/>
      <c r="AD30" s="180"/>
      <c r="AE30" s="180"/>
      <c r="AJ30" s="191"/>
      <c r="BS30" s="181"/>
      <c r="CC30" s="24"/>
      <c r="CD30" s="24"/>
      <c r="CE30" s="24"/>
      <c r="CF30" s="24"/>
      <c r="CG30" s="24"/>
      <c r="CH30" s="24"/>
      <c r="CI30" s="24"/>
      <c r="CJ30" s="24"/>
      <c r="DE30" s="24"/>
      <c r="DF30" s="24"/>
      <c r="DG30" s="24"/>
      <c r="DH30" s="24"/>
      <c r="DI30" s="24"/>
      <c r="DJ30" s="24"/>
      <c r="DK30" s="24"/>
      <c r="DL30" s="24"/>
      <c r="DM30" s="24"/>
      <c r="DN30" s="24"/>
      <c r="DO30" s="24"/>
      <c r="DP30" s="24"/>
      <c r="DQ30" s="24"/>
      <c r="DR30" s="24"/>
      <c r="DS30" s="24"/>
      <c r="DT30" s="24"/>
      <c r="DU30" s="24"/>
      <c r="DV30" s="24"/>
      <c r="DW30" s="24"/>
      <c r="DX30" s="24"/>
      <c r="DY30" s="24"/>
      <c r="DZ30" s="24"/>
      <c r="EA30" s="24"/>
      <c r="EB30" s="24"/>
      <c r="EC30" s="24"/>
      <c r="ED30" s="24"/>
      <c r="EE30" s="24"/>
      <c r="EF30" s="24"/>
      <c r="EG30" s="24"/>
      <c r="EH30" s="24"/>
      <c r="EI30" s="24"/>
      <c r="EJ30" s="24"/>
      <c r="EK30" s="24"/>
      <c r="EL30" s="24"/>
      <c r="EM30" s="24"/>
      <c r="EN30" s="24"/>
      <c r="EO30" s="24"/>
      <c r="EP30" s="24"/>
      <c r="EQ30" s="24"/>
      <c r="ER30" s="24"/>
      <c r="ES30" s="24"/>
      <c r="ET30" s="24"/>
      <c r="EU30" s="24"/>
      <c r="EV30" s="24"/>
      <c r="EW30" s="24"/>
      <c r="EX30" s="24"/>
      <c r="EY30" s="24"/>
      <c r="EZ30" s="24"/>
      <c r="FA30" s="24"/>
      <c r="FB30" s="24"/>
      <c r="FC30" s="24"/>
      <c r="FD30" s="24"/>
      <c r="FE30" s="24"/>
      <c r="FF30" s="24"/>
      <c r="FG30" s="24"/>
      <c r="FH30" s="24"/>
      <c r="FI30" s="24"/>
      <c r="FJ30" s="24"/>
      <c r="FK30" s="24"/>
      <c r="FL30" s="24"/>
    </row>
    <row r="31" spans="1:168" ht="15.75" customHeight="1">
      <c r="A31" s="176"/>
      <c r="B31" s="177"/>
      <c r="C31" s="177"/>
      <c r="D31" s="177"/>
      <c r="E31" s="177"/>
      <c r="F31" s="177"/>
      <c r="G31" s="178"/>
      <c r="H31" s="179"/>
      <c r="J31" s="185"/>
      <c r="O31" s="182"/>
      <c r="P31" s="182"/>
      <c r="Q31" s="1"/>
      <c r="AC31" s="180"/>
      <c r="AD31" s="180"/>
      <c r="AE31" s="180"/>
      <c r="AJ31" s="191"/>
      <c r="BS31" s="181"/>
      <c r="CC31" s="24"/>
      <c r="CD31" s="24"/>
      <c r="CE31" s="24"/>
      <c r="CF31" s="24"/>
      <c r="CG31" s="24"/>
      <c r="CH31" s="24"/>
      <c r="CI31" s="24"/>
      <c r="CJ31" s="24"/>
      <c r="DE31" s="24"/>
      <c r="DF31" s="24"/>
      <c r="DG31" s="24"/>
      <c r="DH31" s="24"/>
      <c r="DI31" s="24"/>
      <c r="DJ31" s="24"/>
      <c r="DK31" s="24"/>
      <c r="DL31" s="24"/>
      <c r="DM31" s="24"/>
      <c r="DN31" s="24"/>
      <c r="DO31" s="24"/>
      <c r="DP31" s="24"/>
      <c r="DQ31" s="24"/>
      <c r="DR31" s="24"/>
      <c r="DS31" s="24"/>
      <c r="DT31" s="24"/>
      <c r="DU31" s="24"/>
      <c r="DV31" s="24"/>
      <c r="DW31" s="24"/>
      <c r="DX31" s="24"/>
      <c r="DY31" s="24"/>
      <c r="DZ31" s="24"/>
      <c r="EA31" s="24"/>
      <c r="EB31" s="24"/>
      <c r="EC31" s="24"/>
      <c r="ED31" s="24"/>
      <c r="EE31" s="24"/>
      <c r="EF31" s="24"/>
      <c r="EG31" s="24"/>
      <c r="EH31" s="24"/>
      <c r="EI31" s="24"/>
      <c r="EJ31" s="24"/>
      <c r="EK31" s="24"/>
      <c r="EL31" s="24"/>
      <c r="EM31" s="24"/>
      <c r="EN31" s="24"/>
      <c r="EO31" s="24"/>
      <c r="EP31" s="24"/>
      <c r="EQ31" s="24"/>
      <c r="ER31" s="24"/>
      <c r="ES31" s="24"/>
      <c r="ET31" s="24"/>
      <c r="EU31" s="24"/>
      <c r="EV31" s="24"/>
      <c r="EW31" s="24"/>
      <c r="EX31" s="24"/>
      <c r="EY31" s="24"/>
      <c r="EZ31" s="24"/>
      <c r="FA31" s="24"/>
      <c r="FB31" s="24"/>
      <c r="FC31" s="24"/>
      <c r="FD31" s="24"/>
      <c r="FE31" s="24"/>
      <c r="FF31" s="24"/>
      <c r="FG31" s="24"/>
      <c r="FH31" s="24"/>
      <c r="FI31" s="24"/>
      <c r="FJ31" s="24"/>
      <c r="FK31" s="24"/>
      <c r="FL31" s="24"/>
    </row>
    <row r="32" spans="1:168" ht="15.75" customHeight="1">
      <c r="A32" s="176"/>
      <c r="B32" s="177"/>
      <c r="C32" s="177"/>
      <c r="D32" s="177"/>
      <c r="E32" s="177"/>
      <c r="F32" s="177"/>
      <c r="G32" s="178"/>
      <c r="H32" s="179"/>
      <c r="J32" s="185"/>
      <c r="O32" s="182"/>
      <c r="P32" s="182"/>
      <c r="Q32" s="1"/>
      <c r="AC32" s="180"/>
      <c r="AD32" s="180"/>
      <c r="AE32" s="180"/>
      <c r="AJ32" s="191"/>
      <c r="BS32" s="181"/>
      <c r="CC32" s="24"/>
      <c r="CD32" s="24"/>
      <c r="CE32" s="24"/>
      <c r="CF32" s="24"/>
      <c r="CG32" s="24"/>
      <c r="CH32" s="24"/>
      <c r="CI32" s="24"/>
      <c r="CJ32" s="24"/>
      <c r="DE32" s="24"/>
      <c r="DF32" s="24"/>
      <c r="DG32" s="24"/>
      <c r="DH32" s="24"/>
      <c r="DI32" s="24"/>
      <c r="DJ32" s="24"/>
      <c r="DK32" s="24"/>
      <c r="DL32" s="24"/>
      <c r="DM32" s="24"/>
      <c r="DN32" s="24"/>
      <c r="DO32" s="24"/>
      <c r="DP32" s="24"/>
      <c r="DQ32" s="24"/>
      <c r="DR32" s="24"/>
      <c r="DS32" s="24"/>
      <c r="DT32" s="24"/>
      <c r="DU32" s="24"/>
      <c r="DV32" s="24"/>
      <c r="DW32" s="24"/>
      <c r="DX32" s="24"/>
      <c r="DY32" s="24"/>
      <c r="DZ32" s="24"/>
      <c r="EA32" s="24"/>
      <c r="EB32" s="24"/>
      <c r="EC32" s="24"/>
      <c r="ED32" s="24"/>
      <c r="EE32" s="24"/>
      <c r="EF32" s="24"/>
      <c r="EG32" s="24"/>
      <c r="EH32" s="24"/>
      <c r="EI32" s="24"/>
      <c r="EJ32" s="24"/>
      <c r="EK32" s="24"/>
      <c r="EL32" s="24"/>
      <c r="EM32" s="24"/>
      <c r="EN32" s="24"/>
      <c r="EO32" s="24"/>
      <c r="EP32" s="24"/>
      <c r="EQ32" s="24"/>
      <c r="ER32" s="24"/>
      <c r="ES32" s="24"/>
      <c r="ET32" s="24"/>
      <c r="EU32" s="24"/>
      <c r="EV32" s="24"/>
      <c r="EW32" s="24"/>
      <c r="EX32" s="24"/>
      <c r="EY32" s="24"/>
      <c r="EZ32" s="24"/>
      <c r="FA32" s="24"/>
      <c r="FB32" s="24"/>
      <c r="FC32" s="24"/>
      <c r="FD32" s="24"/>
      <c r="FE32" s="24"/>
      <c r="FF32" s="24"/>
      <c r="FG32" s="24"/>
      <c r="FH32" s="24"/>
      <c r="FI32" s="24"/>
      <c r="FJ32" s="24"/>
      <c r="FK32" s="24"/>
      <c r="FL32" s="24"/>
    </row>
    <row r="33" spans="1:168" ht="15.75" customHeight="1">
      <c r="A33" s="176"/>
      <c r="B33" s="177"/>
      <c r="C33" s="177"/>
      <c r="D33" s="177"/>
      <c r="E33" s="177"/>
      <c r="F33" s="177"/>
      <c r="G33" s="178"/>
      <c r="H33" s="179"/>
      <c r="J33" s="185"/>
      <c r="O33" s="182"/>
      <c r="P33" s="182"/>
      <c r="Q33" s="1"/>
      <c r="AC33" s="180"/>
      <c r="AD33" s="180"/>
      <c r="AE33" s="180"/>
      <c r="AJ33" s="191"/>
      <c r="BS33" s="181"/>
      <c r="CC33" s="24"/>
      <c r="CD33" s="24"/>
      <c r="CE33" s="24"/>
      <c r="CF33" s="24"/>
      <c r="CG33" s="24"/>
      <c r="CH33" s="24"/>
      <c r="CI33" s="24"/>
      <c r="CJ33" s="24"/>
      <c r="DE33" s="24"/>
      <c r="DF33" s="24"/>
      <c r="DG33" s="24"/>
      <c r="DH33" s="24"/>
      <c r="DI33" s="24"/>
      <c r="DJ33" s="24"/>
      <c r="DK33" s="24"/>
      <c r="DL33" s="24"/>
      <c r="DM33" s="24"/>
      <c r="DN33" s="24"/>
      <c r="DO33" s="24"/>
      <c r="DP33" s="24"/>
      <c r="DQ33" s="24"/>
      <c r="DR33" s="24"/>
      <c r="DS33" s="24"/>
      <c r="DT33" s="24"/>
      <c r="DU33" s="24"/>
      <c r="DV33" s="24"/>
      <c r="DW33" s="24"/>
      <c r="DX33" s="24"/>
      <c r="DY33" s="24"/>
      <c r="DZ33" s="24"/>
      <c r="EA33" s="24"/>
      <c r="EB33" s="24"/>
      <c r="EC33" s="24"/>
      <c r="ED33" s="24"/>
      <c r="EE33" s="24"/>
      <c r="EF33" s="24"/>
      <c r="EG33" s="24"/>
      <c r="EH33" s="24"/>
      <c r="EI33" s="24"/>
      <c r="EJ33" s="24"/>
      <c r="EK33" s="24"/>
      <c r="EL33" s="24"/>
      <c r="EM33" s="24"/>
      <c r="EN33" s="24"/>
      <c r="EO33" s="24"/>
      <c r="EP33" s="24"/>
      <c r="EQ33" s="24"/>
      <c r="ER33" s="24"/>
      <c r="ES33" s="24"/>
      <c r="ET33" s="24"/>
      <c r="EU33" s="24"/>
      <c r="EV33" s="24"/>
      <c r="EW33" s="24"/>
      <c r="EX33" s="24"/>
      <c r="EY33" s="24"/>
      <c r="EZ33" s="24"/>
      <c r="FA33" s="24"/>
      <c r="FB33" s="24"/>
      <c r="FC33" s="24"/>
      <c r="FD33" s="24"/>
      <c r="FE33" s="24"/>
      <c r="FF33" s="24"/>
      <c r="FG33" s="24"/>
      <c r="FH33" s="24"/>
      <c r="FI33" s="24"/>
      <c r="FJ33" s="24"/>
      <c r="FK33" s="24"/>
      <c r="FL33" s="24"/>
    </row>
    <row r="34" spans="1:168" ht="15.75" customHeight="1">
      <c r="A34" s="176"/>
      <c r="B34" s="177"/>
      <c r="C34" s="177"/>
      <c r="D34" s="177"/>
      <c r="E34" s="177"/>
      <c r="F34" s="177"/>
      <c r="G34" s="178"/>
      <c r="H34" s="179"/>
      <c r="J34" s="185"/>
      <c r="O34" s="182"/>
      <c r="P34" s="182"/>
      <c r="Q34" s="1"/>
      <c r="AC34" s="180"/>
      <c r="AD34" s="180"/>
      <c r="AE34" s="180"/>
      <c r="AJ34" s="191"/>
      <c r="BS34" s="181"/>
      <c r="CC34" s="24"/>
      <c r="CD34" s="24"/>
      <c r="CE34" s="24"/>
      <c r="CF34" s="24"/>
      <c r="CG34" s="24"/>
      <c r="CH34" s="24"/>
      <c r="CI34" s="24"/>
      <c r="CJ34" s="24"/>
      <c r="DE34" s="24"/>
      <c r="DF34" s="24"/>
      <c r="DG34" s="24"/>
      <c r="DH34" s="24"/>
      <c r="DI34" s="24"/>
      <c r="DJ34" s="24"/>
      <c r="DK34" s="24"/>
      <c r="DL34" s="24"/>
      <c r="DM34" s="24"/>
      <c r="DN34" s="24"/>
      <c r="DO34" s="24"/>
      <c r="DP34" s="24"/>
      <c r="DQ34" s="24"/>
      <c r="DR34" s="24"/>
      <c r="DS34" s="24"/>
      <c r="DT34" s="24"/>
      <c r="DU34" s="24"/>
      <c r="DV34" s="24"/>
      <c r="DW34" s="24"/>
      <c r="DX34" s="24"/>
      <c r="DY34" s="24"/>
      <c r="DZ34" s="24"/>
      <c r="EA34" s="24"/>
      <c r="EB34" s="24"/>
      <c r="EC34" s="24"/>
      <c r="ED34" s="24"/>
      <c r="EE34" s="24"/>
      <c r="EF34" s="24"/>
      <c r="EG34" s="24"/>
      <c r="EH34" s="24"/>
      <c r="EI34" s="24"/>
      <c r="EJ34" s="24"/>
      <c r="EK34" s="24"/>
      <c r="EL34" s="24"/>
      <c r="EM34" s="24"/>
      <c r="EN34" s="24"/>
      <c r="EO34" s="24"/>
      <c r="EP34" s="24"/>
      <c r="EQ34" s="24"/>
      <c r="ER34" s="24"/>
      <c r="ES34" s="24"/>
      <c r="ET34" s="24"/>
      <c r="EU34" s="24"/>
      <c r="EV34" s="24"/>
      <c r="EW34" s="24"/>
      <c r="EX34" s="24"/>
      <c r="EY34" s="24"/>
      <c r="EZ34" s="24"/>
      <c r="FA34" s="24"/>
      <c r="FB34" s="24"/>
      <c r="FC34" s="24"/>
      <c r="FD34" s="24"/>
      <c r="FE34" s="24"/>
      <c r="FF34" s="24"/>
      <c r="FG34" s="24"/>
      <c r="FH34" s="24"/>
      <c r="FI34" s="24"/>
      <c r="FJ34" s="24"/>
      <c r="FK34" s="24"/>
      <c r="FL34" s="24"/>
    </row>
    <row r="35" spans="1:168" ht="15.75" customHeight="1">
      <c r="A35" s="176"/>
      <c r="B35" s="177"/>
      <c r="C35" s="177"/>
      <c r="D35" s="177"/>
      <c r="E35" s="177"/>
      <c r="F35" s="177"/>
      <c r="G35" s="178"/>
      <c r="H35" s="179"/>
      <c r="J35" s="185"/>
      <c r="O35" s="182"/>
      <c r="P35" s="182"/>
      <c r="Q35" s="1"/>
      <c r="AC35" s="180"/>
      <c r="AD35" s="180"/>
      <c r="AE35" s="180"/>
      <c r="AJ35" s="191"/>
      <c r="BS35" s="181"/>
      <c r="CC35" s="24"/>
      <c r="CD35" s="24"/>
      <c r="CE35" s="24"/>
      <c r="CF35" s="24"/>
      <c r="CG35" s="24"/>
      <c r="CH35" s="24"/>
      <c r="CI35" s="24"/>
      <c r="CJ35" s="24"/>
      <c r="DE35" s="24"/>
      <c r="DF35" s="24"/>
      <c r="DG35" s="24"/>
      <c r="DH35" s="24"/>
      <c r="DI35" s="24"/>
      <c r="DJ35" s="24"/>
      <c r="DK35" s="24"/>
      <c r="DL35" s="24"/>
      <c r="DM35" s="24"/>
      <c r="DN35" s="24"/>
      <c r="DO35" s="24"/>
      <c r="DP35" s="24"/>
      <c r="DQ35" s="24"/>
      <c r="DR35" s="24"/>
      <c r="DS35" s="24"/>
      <c r="DT35" s="24"/>
      <c r="DU35" s="24"/>
      <c r="DV35" s="24"/>
      <c r="DW35" s="24"/>
      <c r="DX35" s="24"/>
      <c r="DY35" s="24"/>
      <c r="DZ35" s="24"/>
      <c r="EA35" s="24"/>
      <c r="EB35" s="24"/>
      <c r="EC35" s="24"/>
      <c r="ED35" s="24"/>
      <c r="EE35" s="24"/>
      <c r="EF35" s="24"/>
      <c r="EG35" s="24"/>
      <c r="EH35" s="24"/>
      <c r="EI35" s="24"/>
      <c r="EJ35" s="24"/>
      <c r="EK35" s="24"/>
      <c r="EL35" s="24"/>
      <c r="EM35" s="24"/>
      <c r="EN35" s="24"/>
      <c r="EO35" s="24"/>
      <c r="EP35" s="24"/>
      <c r="EQ35" s="24"/>
      <c r="ER35" s="24"/>
      <c r="ES35" s="24"/>
      <c r="ET35" s="24"/>
      <c r="EU35" s="24"/>
      <c r="EV35" s="24"/>
      <c r="EW35" s="24"/>
      <c r="EX35" s="24"/>
      <c r="EY35" s="24"/>
      <c r="EZ35" s="24"/>
      <c r="FA35" s="24"/>
      <c r="FB35" s="24"/>
      <c r="FC35" s="24"/>
      <c r="FD35" s="24"/>
      <c r="FE35" s="24"/>
      <c r="FF35" s="24"/>
      <c r="FG35" s="24"/>
      <c r="FH35" s="24"/>
      <c r="FI35" s="24"/>
      <c r="FJ35" s="24"/>
      <c r="FK35" s="24"/>
      <c r="FL35" s="24"/>
    </row>
    <row r="36" spans="1:168" ht="15.75" customHeight="1">
      <c r="A36" s="176"/>
      <c r="B36" s="177"/>
      <c r="C36" s="177"/>
      <c r="D36" s="177"/>
      <c r="E36" s="177"/>
      <c r="F36" s="177"/>
      <c r="G36" s="178"/>
      <c r="H36" s="179"/>
      <c r="J36" s="185"/>
      <c r="O36" s="182"/>
      <c r="P36" s="182"/>
      <c r="Q36" s="1"/>
      <c r="AC36" s="180"/>
      <c r="AD36" s="180"/>
      <c r="AE36" s="180"/>
      <c r="AJ36" s="191"/>
      <c r="BS36" s="181"/>
      <c r="CC36" s="24"/>
      <c r="CD36" s="24"/>
      <c r="CE36" s="24"/>
      <c r="CF36" s="24"/>
      <c r="CG36" s="24"/>
      <c r="CH36" s="24"/>
      <c r="CI36" s="24"/>
      <c r="CJ36" s="24"/>
      <c r="DE36" s="24"/>
      <c r="DF36" s="24"/>
      <c r="DG36" s="24"/>
      <c r="DH36" s="24"/>
      <c r="DI36" s="24"/>
      <c r="DJ36" s="24"/>
      <c r="DK36" s="24"/>
      <c r="DL36" s="24"/>
      <c r="DM36" s="24"/>
      <c r="DN36" s="24"/>
      <c r="DO36" s="24"/>
      <c r="DP36" s="24"/>
      <c r="DQ36" s="24"/>
      <c r="DR36" s="24"/>
      <c r="DS36" s="24"/>
      <c r="DT36" s="24"/>
      <c r="DU36" s="24"/>
      <c r="DV36" s="24"/>
      <c r="DW36" s="24"/>
      <c r="DX36" s="24"/>
      <c r="DY36" s="24"/>
      <c r="DZ36" s="24"/>
      <c r="EA36" s="24"/>
      <c r="EB36" s="24"/>
      <c r="EC36" s="24"/>
      <c r="ED36" s="24"/>
      <c r="EE36" s="24"/>
      <c r="EF36" s="24"/>
      <c r="EG36" s="24"/>
      <c r="EH36" s="24"/>
      <c r="EI36" s="24"/>
      <c r="EJ36" s="24"/>
      <c r="EK36" s="24"/>
      <c r="EL36" s="24"/>
      <c r="EM36" s="24"/>
      <c r="EN36" s="24"/>
      <c r="EO36" s="24"/>
      <c r="EP36" s="24"/>
      <c r="EQ36" s="24"/>
      <c r="ER36" s="24"/>
      <c r="ES36" s="24"/>
      <c r="ET36" s="24"/>
      <c r="EU36" s="24"/>
      <c r="EV36" s="24"/>
      <c r="EW36" s="24"/>
      <c r="EX36" s="24"/>
      <c r="EY36" s="24"/>
      <c r="EZ36" s="24"/>
      <c r="FA36" s="24"/>
      <c r="FB36" s="24"/>
      <c r="FC36" s="24"/>
      <c r="FD36" s="24"/>
      <c r="FE36" s="24"/>
      <c r="FF36" s="24"/>
      <c r="FG36" s="24"/>
      <c r="FH36" s="24"/>
      <c r="FI36" s="24"/>
      <c r="FJ36" s="24"/>
      <c r="FK36" s="24"/>
      <c r="FL36" s="24"/>
    </row>
    <row r="37" spans="1:168" ht="15.75" customHeight="1">
      <c r="A37" s="176"/>
      <c r="B37" s="177"/>
      <c r="C37" s="177"/>
      <c r="D37" s="177"/>
      <c r="E37" s="177"/>
      <c r="F37" s="177"/>
      <c r="G37" s="178"/>
      <c r="H37" s="179"/>
      <c r="J37" s="185"/>
      <c r="O37" s="182"/>
      <c r="P37" s="182"/>
      <c r="Q37" s="1"/>
      <c r="AC37" s="180"/>
      <c r="AD37" s="180"/>
      <c r="AE37" s="180"/>
      <c r="AJ37" s="191"/>
      <c r="BS37" s="181"/>
      <c r="CC37" s="24"/>
      <c r="CD37" s="24"/>
      <c r="CE37" s="24"/>
      <c r="CF37" s="24"/>
      <c r="CG37" s="24"/>
      <c r="CH37" s="24"/>
      <c r="CI37" s="24"/>
      <c r="CJ37" s="24"/>
      <c r="DE37" s="24"/>
      <c r="DF37" s="24"/>
      <c r="DG37" s="24"/>
      <c r="DH37" s="24"/>
      <c r="DI37" s="24"/>
      <c r="DJ37" s="24"/>
      <c r="DK37" s="24"/>
      <c r="DL37" s="24"/>
      <c r="DM37" s="24"/>
      <c r="DN37" s="24"/>
      <c r="DO37" s="24"/>
      <c r="DP37" s="24"/>
      <c r="DQ37" s="24"/>
      <c r="DR37" s="24"/>
      <c r="DS37" s="24"/>
      <c r="DT37" s="24"/>
      <c r="DU37" s="24"/>
      <c r="DV37" s="24"/>
      <c r="DW37" s="24"/>
      <c r="DX37" s="24"/>
      <c r="DY37" s="24"/>
      <c r="DZ37" s="24"/>
      <c r="EA37" s="24"/>
      <c r="EB37" s="24"/>
      <c r="EC37" s="24"/>
      <c r="ED37" s="24"/>
      <c r="EE37" s="24"/>
      <c r="EF37" s="24"/>
      <c r="EG37" s="24"/>
      <c r="EH37" s="24"/>
      <c r="EI37" s="24"/>
      <c r="EJ37" s="24"/>
      <c r="EK37" s="24"/>
      <c r="EL37" s="24"/>
      <c r="EM37" s="24"/>
      <c r="EN37" s="24"/>
      <c r="EO37" s="24"/>
      <c r="EP37" s="24"/>
      <c r="EQ37" s="24"/>
      <c r="ER37" s="24"/>
      <c r="ES37" s="24"/>
      <c r="ET37" s="24"/>
      <c r="EU37" s="24"/>
      <c r="EV37" s="24"/>
      <c r="EW37" s="24"/>
      <c r="EX37" s="24"/>
      <c r="EY37" s="24"/>
      <c r="EZ37" s="24"/>
      <c r="FA37" s="24"/>
      <c r="FB37" s="24"/>
      <c r="FC37" s="24"/>
      <c r="FD37" s="24"/>
      <c r="FE37" s="24"/>
      <c r="FF37" s="24"/>
      <c r="FG37" s="24"/>
      <c r="FH37" s="24"/>
      <c r="FI37" s="24"/>
      <c r="FJ37" s="24"/>
      <c r="FK37" s="24"/>
      <c r="FL37" s="24"/>
    </row>
    <row r="38" spans="1:168" ht="15.75" customHeight="1">
      <c r="A38" s="176"/>
      <c r="B38" s="177"/>
      <c r="C38" s="177"/>
      <c r="D38" s="177"/>
      <c r="E38" s="177"/>
      <c r="F38" s="177"/>
      <c r="G38" s="178"/>
      <c r="H38" s="179"/>
      <c r="J38" s="185"/>
      <c r="O38" s="182"/>
      <c r="P38" s="182"/>
      <c r="Q38" s="1"/>
      <c r="AC38" s="180"/>
      <c r="AD38" s="180"/>
      <c r="AE38" s="180"/>
      <c r="AJ38" s="191"/>
      <c r="BS38" s="181"/>
      <c r="CC38" s="24"/>
      <c r="CD38" s="24"/>
      <c r="CE38" s="24"/>
      <c r="CF38" s="24"/>
      <c r="CG38" s="24"/>
      <c r="CH38" s="24"/>
      <c r="CI38" s="24"/>
      <c r="CJ38" s="24"/>
      <c r="DE38" s="24"/>
      <c r="DF38" s="24"/>
      <c r="DG38" s="24"/>
      <c r="DH38" s="24"/>
      <c r="DI38" s="24"/>
      <c r="DJ38" s="24"/>
      <c r="DK38" s="24"/>
      <c r="DL38" s="24"/>
      <c r="DM38" s="24"/>
      <c r="DN38" s="24"/>
      <c r="DO38" s="24"/>
      <c r="DP38" s="24"/>
      <c r="DQ38" s="24"/>
      <c r="DR38" s="24"/>
      <c r="DS38" s="24"/>
      <c r="DT38" s="24"/>
      <c r="DU38" s="24"/>
      <c r="DV38" s="24"/>
      <c r="DW38" s="24"/>
      <c r="DX38" s="24"/>
      <c r="DY38" s="24"/>
      <c r="DZ38" s="24"/>
      <c r="EA38" s="24"/>
      <c r="EB38" s="24"/>
      <c r="EC38" s="24"/>
      <c r="ED38" s="24"/>
      <c r="EE38" s="24"/>
      <c r="EF38" s="24"/>
      <c r="EG38" s="24"/>
      <c r="EH38" s="24"/>
      <c r="EI38" s="24"/>
      <c r="EJ38" s="24"/>
      <c r="EK38" s="24"/>
      <c r="EL38" s="24"/>
      <c r="EM38" s="24"/>
      <c r="EN38" s="24"/>
      <c r="EO38" s="24"/>
      <c r="EP38" s="24"/>
      <c r="EQ38" s="24"/>
      <c r="ER38" s="24"/>
      <c r="ES38" s="24"/>
      <c r="ET38" s="24"/>
      <c r="EU38" s="24"/>
      <c r="EV38" s="24"/>
      <c r="EW38" s="24"/>
      <c r="EX38" s="24"/>
      <c r="EY38" s="24"/>
      <c r="EZ38" s="24"/>
      <c r="FA38" s="24"/>
      <c r="FB38" s="24"/>
      <c r="FC38" s="24"/>
      <c r="FD38" s="24"/>
      <c r="FE38" s="24"/>
      <c r="FF38" s="24"/>
      <c r="FG38" s="24"/>
      <c r="FH38" s="24"/>
      <c r="FI38" s="24"/>
      <c r="FJ38" s="24"/>
      <c r="FK38" s="24"/>
      <c r="FL38" s="24"/>
    </row>
    <row r="39" spans="1:168" ht="15.75" customHeight="1">
      <c r="A39" s="176"/>
      <c r="B39" s="177"/>
      <c r="C39" s="177"/>
      <c r="D39" s="177"/>
      <c r="E39" s="177"/>
      <c r="F39" s="177"/>
      <c r="G39" s="178"/>
      <c r="H39" s="179"/>
      <c r="J39" s="185"/>
      <c r="O39" s="182"/>
      <c r="P39" s="182"/>
      <c r="Q39" s="1"/>
      <c r="AC39" s="180"/>
      <c r="AD39" s="180"/>
      <c r="AE39" s="180"/>
      <c r="AJ39" s="191"/>
      <c r="BS39" s="181"/>
      <c r="CC39" s="24"/>
      <c r="CD39" s="24"/>
      <c r="CE39" s="24"/>
      <c r="CF39" s="24"/>
      <c r="CG39" s="24"/>
      <c r="CH39" s="24"/>
      <c r="CI39" s="24"/>
      <c r="CJ39" s="24"/>
      <c r="DE39" s="24"/>
      <c r="DF39" s="24"/>
      <c r="DG39" s="24"/>
      <c r="DH39" s="24"/>
      <c r="DI39" s="24"/>
      <c r="DJ39" s="24"/>
      <c r="DK39" s="24"/>
      <c r="DL39" s="24"/>
      <c r="DM39" s="24"/>
      <c r="DN39" s="24"/>
      <c r="DO39" s="24"/>
      <c r="DP39" s="24"/>
      <c r="DQ39" s="24"/>
      <c r="DR39" s="24"/>
      <c r="DS39" s="24"/>
      <c r="DT39" s="24"/>
      <c r="DU39" s="24"/>
      <c r="DV39" s="24"/>
      <c r="DW39" s="24"/>
      <c r="DX39" s="24"/>
      <c r="DY39" s="24"/>
      <c r="DZ39" s="24"/>
      <c r="EA39" s="24"/>
      <c r="EB39" s="24"/>
      <c r="EC39" s="24"/>
      <c r="ED39" s="24"/>
      <c r="EE39" s="24"/>
      <c r="EF39" s="24"/>
      <c r="EG39" s="24"/>
      <c r="EH39" s="24"/>
      <c r="EI39" s="24"/>
      <c r="EJ39" s="24"/>
      <c r="EK39" s="24"/>
      <c r="EL39" s="24"/>
      <c r="EM39" s="24"/>
      <c r="EN39" s="24"/>
      <c r="EO39" s="24"/>
      <c r="EP39" s="24"/>
      <c r="EQ39" s="24"/>
      <c r="ER39" s="24"/>
      <c r="ES39" s="24"/>
      <c r="ET39" s="24"/>
      <c r="EU39" s="24"/>
      <c r="EV39" s="24"/>
      <c r="EW39" s="24"/>
      <c r="EX39" s="24"/>
      <c r="EY39" s="24"/>
      <c r="EZ39" s="24"/>
      <c r="FA39" s="24"/>
      <c r="FB39" s="24"/>
      <c r="FC39" s="24"/>
      <c r="FD39" s="24"/>
      <c r="FE39" s="24"/>
      <c r="FF39" s="24"/>
      <c r="FG39" s="24"/>
      <c r="FH39" s="24"/>
      <c r="FI39" s="24"/>
      <c r="FJ39" s="24"/>
      <c r="FK39" s="24"/>
      <c r="FL39" s="24"/>
    </row>
    <row r="40" spans="1:168" ht="15.75" customHeight="1">
      <c r="A40" s="176"/>
      <c r="B40" s="177"/>
      <c r="C40" s="177"/>
      <c r="D40" s="177"/>
      <c r="E40" s="177"/>
      <c r="F40" s="177"/>
      <c r="G40" s="178"/>
      <c r="H40" s="179"/>
      <c r="J40" s="185"/>
      <c r="O40" s="182"/>
      <c r="P40" s="182"/>
      <c r="Q40" s="1"/>
      <c r="AC40" s="180"/>
      <c r="AD40" s="180"/>
      <c r="AE40" s="180"/>
      <c r="AJ40" s="191"/>
      <c r="BS40" s="181"/>
      <c r="CC40" s="24"/>
      <c r="CD40" s="24"/>
      <c r="CE40" s="24"/>
      <c r="CF40" s="24"/>
      <c r="CG40" s="24"/>
      <c r="CH40" s="24"/>
      <c r="CI40" s="24"/>
      <c r="CJ40" s="24"/>
      <c r="DE40" s="24"/>
      <c r="DF40" s="24"/>
      <c r="DG40" s="24"/>
      <c r="DH40" s="24"/>
      <c r="DI40" s="24"/>
      <c r="DJ40" s="24"/>
      <c r="DK40" s="24"/>
      <c r="DL40" s="24"/>
      <c r="DM40" s="24"/>
      <c r="DN40" s="24"/>
      <c r="DO40" s="24"/>
      <c r="DP40" s="24"/>
      <c r="DQ40" s="24"/>
      <c r="DR40" s="24"/>
      <c r="DS40" s="24"/>
      <c r="DT40" s="24"/>
      <c r="DU40" s="24"/>
      <c r="DV40" s="24"/>
      <c r="DW40" s="24"/>
      <c r="DX40" s="24"/>
      <c r="DY40" s="24"/>
      <c r="DZ40" s="24"/>
      <c r="EA40" s="24"/>
      <c r="EB40" s="24"/>
      <c r="EC40" s="24"/>
      <c r="ED40" s="24"/>
      <c r="EE40" s="24"/>
      <c r="EF40" s="24"/>
      <c r="EG40" s="24"/>
      <c r="EH40" s="24"/>
      <c r="EI40" s="24"/>
      <c r="EJ40" s="24"/>
      <c r="EK40" s="24"/>
      <c r="EL40" s="24"/>
      <c r="EM40" s="24"/>
      <c r="EN40" s="24"/>
      <c r="EO40" s="24"/>
      <c r="EP40" s="24"/>
      <c r="EQ40" s="24"/>
      <c r="ER40" s="24"/>
      <c r="ES40" s="24"/>
      <c r="ET40" s="24"/>
      <c r="EU40" s="24"/>
      <c r="EV40" s="24"/>
      <c r="EW40" s="24"/>
      <c r="EX40" s="24"/>
      <c r="EY40" s="24"/>
      <c r="EZ40" s="24"/>
      <c r="FA40" s="24"/>
      <c r="FB40" s="24"/>
      <c r="FC40" s="24"/>
      <c r="FD40" s="24"/>
      <c r="FE40" s="24"/>
      <c r="FF40" s="24"/>
      <c r="FG40" s="24"/>
      <c r="FH40" s="24"/>
      <c r="FI40" s="24"/>
      <c r="FJ40" s="24"/>
      <c r="FK40" s="24"/>
      <c r="FL40" s="24"/>
    </row>
    <row r="41" spans="1:168" ht="15.75" customHeight="1">
      <c r="A41" s="176"/>
      <c r="B41" s="177"/>
      <c r="C41" s="177"/>
      <c r="D41" s="177"/>
      <c r="E41" s="177"/>
      <c r="F41" s="177"/>
      <c r="G41" s="178"/>
      <c r="H41" s="179"/>
      <c r="J41" s="185"/>
      <c r="O41" s="182"/>
      <c r="P41" s="182"/>
      <c r="Q41" s="1"/>
      <c r="AC41" s="180"/>
      <c r="AD41" s="180"/>
      <c r="AE41" s="180"/>
      <c r="AJ41" s="191"/>
      <c r="BS41" s="181"/>
      <c r="CC41" s="24"/>
      <c r="CD41" s="24"/>
      <c r="CE41" s="24"/>
      <c r="CF41" s="24"/>
      <c r="CG41" s="24"/>
      <c r="CH41" s="24"/>
      <c r="CI41" s="24"/>
      <c r="CJ41" s="24"/>
      <c r="DE41" s="24"/>
      <c r="DF41" s="24"/>
      <c r="DG41" s="24"/>
      <c r="DH41" s="24"/>
      <c r="DI41" s="24"/>
      <c r="DJ41" s="24"/>
      <c r="DK41" s="24"/>
      <c r="DL41" s="24"/>
      <c r="DM41" s="24"/>
      <c r="DN41" s="24"/>
      <c r="DO41" s="24"/>
      <c r="DP41" s="24"/>
      <c r="DQ41" s="24"/>
      <c r="DR41" s="24"/>
      <c r="DS41" s="24"/>
      <c r="DT41" s="24"/>
      <c r="DU41" s="24"/>
      <c r="DV41" s="24"/>
      <c r="DW41" s="24"/>
      <c r="DX41" s="24"/>
      <c r="DY41" s="24"/>
      <c r="DZ41" s="24"/>
      <c r="EA41" s="24"/>
      <c r="EB41" s="24"/>
      <c r="EC41" s="24"/>
      <c r="ED41" s="24"/>
      <c r="EE41" s="24"/>
      <c r="EF41" s="24"/>
      <c r="EG41" s="24"/>
      <c r="EH41" s="24"/>
      <c r="EI41" s="24"/>
      <c r="EJ41" s="24"/>
      <c r="EK41" s="24"/>
      <c r="EL41" s="24"/>
      <c r="EM41" s="24"/>
      <c r="EN41" s="24"/>
      <c r="EO41" s="24"/>
      <c r="EP41" s="24"/>
      <c r="EQ41" s="24"/>
      <c r="ER41" s="24"/>
      <c r="ES41" s="24"/>
      <c r="ET41" s="24"/>
      <c r="EU41" s="24"/>
      <c r="EV41" s="24"/>
      <c r="EW41" s="24"/>
      <c r="EX41" s="24"/>
      <c r="EY41" s="24"/>
      <c r="EZ41" s="24"/>
      <c r="FA41" s="24"/>
      <c r="FB41" s="24"/>
      <c r="FC41" s="24"/>
      <c r="FD41" s="24"/>
      <c r="FE41" s="24"/>
      <c r="FF41" s="24"/>
      <c r="FG41" s="24"/>
      <c r="FH41" s="24"/>
      <c r="FI41" s="24"/>
      <c r="FJ41" s="24"/>
      <c r="FK41" s="24"/>
      <c r="FL41" s="24"/>
    </row>
    <row r="42" spans="1:168" ht="15.75" customHeight="1">
      <c r="A42" s="176"/>
      <c r="B42" s="177"/>
      <c r="C42" s="177"/>
      <c r="D42" s="177"/>
      <c r="E42" s="177"/>
      <c r="F42" s="177"/>
      <c r="G42" s="178"/>
      <c r="H42" s="179"/>
      <c r="J42" s="185"/>
      <c r="O42" s="182"/>
      <c r="P42" s="182"/>
      <c r="Q42" s="1"/>
      <c r="AC42" s="180"/>
      <c r="AD42" s="180"/>
      <c r="AE42" s="180"/>
      <c r="AJ42" s="191"/>
      <c r="BS42" s="181"/>
      <c r="CC42" s="24"/>
      <c r="CD42" s="24"/>
      <c r="CE42" s="24"/>
      <c r="CF42" s="24"/>
      <c r="CG42" s="24"/>
      <c r="CH42" s="24"/>
      <c r="CI42" s="24"/>
      <c r="CJ42" s="24"/>
      <c r="DE42" s="24"/>
      <c r="DF42" s="24"/>
      <c r="DG42" s="24"/>
      <c r="DH42" s="24"/>
      <c r="DI42" s="24"/>
      <c r="DJ42" s="24"/>
      <c r="DK42" s="24"/>
      <c r="DL42" s="24"/>
      <c r="DM42" s="24"/>
      <c r="DN42" s="24"/>
      <c r="DO42" s="24"/>
      <c r="DP42" s="24"/>
      <c r="DQ42" s="24"/>
      <c r="DR42" s="24"/>
      <c r="DS42" s="24"/>
      <c r="DT42" s="24"/>
      <c r="DU42" s="24"/>
      <c r="DV42" s="24"/>
      <c r="DW42" s="24"/>
      <c r="DX42" s="24"/>
      <c r="DY42" s="24"/>
      <c r="DZ42" s="24"/>
      <c r="EA42" s="24"/>
      <c r="EB42" s="24"/>
      <c r="EC42" s="24"/>
      <c r="ED42" s="24"/>
      <c r="EE42" s="24"/>
      <c r="EF42" s="24"/>
      <c r="EG42" s="24"/>
      <c r="EH42" s="24"/>
      <c r="EI42" s="24"/>
      <c r="EJ42" s="24"/>
      <c r="EK42" s="24"/>
      <c r="EL42" s="24"/>
      <c r="EM42" s="24"/>
      <c r="EN42" s="24"/>
      <c r="EO42" s="24"/>
      <c r="EP42" s="24"/>
      <c r="EQ42" s="24"/>
      <c r="ER42" s="24"/>
      <c r="ES42" s="24"/>
      <c r="ET42" s="24"/>
      <c r="EU42" s="24"/>
      <c r="EV42" s="24"/>
      <c r="EW42" s="24"/>
      <c r="EX42" s="24"/>
      <c r="EY42" s="24"/>
      <c r="EZ42" s="24"/>
      <c r="FA42" s="24"/>
      <c r="FB42" s="24"/>
      <c r="FC42" s="24"/>
      <c r="FD42" s="24"/>
      <c r="FE42" s="24"/>
      <c r="FF42" s="24"/>
      <c r="FG42" s="24"/>
      <c r="FH42" s="24"/>
      <c r="FI42" s="24"/>
      <c r="FJ42" s="24"/>
      <c r="FK42" s="24"/>
      <c r="FL42" s="24"/>
    </row>
    <row r="43" spans="1:168" ht="15.75" customHeight="1">
      <c r="A43" s="176"/>
      <c r="B43" s="177"/>
      <c r="C43" s="177"/>
      <c r="D43" s="177"/>
      <c r="E43" s="177"/>
      <c r="F43" s="177"/>
      <c r="G43" s="178"/>
      <c r="H43" s="179"/>
      <c r="J43" s="185"/>
      <c r="O43" s="182"/>
      <c r="P43" s="182"/>
      <c r="Q43" s="1"/>
      <c r="AC43" s="180"/>
      <c r="AD43" s="180"/>
      <c r="AE43" s="180"/>
      <c r="AJ43" s="191"/>
      <c r="BS43" s="181"/>
      <c r="CC43" s="24"/>
      <c r="CD43" s="24"/>
      <c r="CE43" s="24"/>
      <c r="CF43" s="24"/>
      <c r="CG43" s="24"/>
      <c r="CH43" s="24"/>
      <c r="CI43" s="24"/>
      <c r="CJ43" s="24"/>
      <c r="DE43" s="24"/>
      <c r="DF43" s="24"/>
      <c r="DG43" s="24"/>
      <c r="DH43" s="24"/>
      <c r="DI43" s="24"/>
      <c r="DJ43" s="24"/>
      <c r="DK43" s="24"/>
      <c r="DL43" s="24"/>
      <c r="DM43" s="24"/>
      <c r="DN43" s="24"/>
      <c r="DO43" s="24"/>
      <c r="DP43" s="24"/>
      <c r="DQ43" s="24"/>
      <c r="DR43" s="24"/>
      <c r="DS43" s="24"/>
      <c r="DT43" s="24"/>
      <c r="DU43" s="24"/>
      <c r="DV43" s="24"/>
      <c r="DW43" s="24"/>
      <c r="DX43" s="24"/>
      <c r="DY43" s="24"/>
      <c r="DZ43" s="24"/>
      <c r="EA43" s="24"/>
      <c r="EB43" s="24"/>
      <c r="EC43" s="24"/>
      <c r="ED43" s="24"/>
      <c r="EE43" s="24"/>
      <c r="EF43" s="24"/>
      <c r="EG43" s="24"/>
      <c r="EH43" s="24"/>
      <c r="EI43" s="24"/>
      <c r="EJ43" s="24"/>
      <c r="EK43" s="24"/>
      <c r="EL43" s="24"/>
      <c r="EM43" s="24"/>
      <c r="EN43" s="24"/>
      <c r="EO43" s="24"/>
      <c r="EP43" s="24"/>
      <c r="EQ43" s="24"/>
      <c r="ER43" s="24"/>
      <c r="ES43" s="24"/>
      <c r="ET43" s="24"/>
      <c r="EU43" s="24"/>
      <c r="EV43" s="24"/>
      <c r="EW43" s="24"/>
      <c r="EX43" s="24"/>
      <c r="EY43" s="24"/>
      <c r="EZ43" s="24"/>
      <c r="FA43" s="24"/>
      <c r="FB43" s="24"/>
      <c r="FC43" s="24"/>
      <c r="FD43" s="24"/>
      <c r="FE43" s="24"/>
      <c r="FF43" s="24"/>
      <c r="FG43" s="24"/>
      <c r="FH43" s="24"/>
      <c r="FI43" s="24"/>
      <c r="FJ43" s="24"/>
      <c r="FK43" s="24"/>
      <c r="FL43" s="24"/>
    </row>
    <row r="44" spans="1:168" ht="15.75" customHeight="1">
      <c r="A44" s="176"/>
      <c r="B44" s="177"/>
      <c r="C44" s="177"/>
      <c r="D44" s="177"/>
      <c r="E44" s="177"/>
      <c r="F44" s="177"/>
      <c r="G44" s="178"/>
      <c r="H44" s="179"/>
      <c r="J44" s="185"/>
      <c r="O44" s="182"/>
      <c r="P44" s="182"/>
      <c r="Q44" s="1"/>
      <c r="AC44" s="180"/>
      <c r="AD44" s="180"/>
      <c r="AE44" s="180"/>
      <c r="AJ44" s="191"/>
      <c r="BS44" s="181"/>
      <c r="CC44" s="24"/>
      <c r="CD44" s="24"/>
      <c r="CE44" s="24"/>
      <c r="CF44" s="24"/>
      <c r="CG44" s="24"/>
      <c r="CH44" s="24"/>
      <c r="CI44" s="24"/>
      <c r="CJ44" s="24"/>
      <c r="DE44" s="24"/>
      <c r="DF44" s="24"/>
      <c r="DG44" s="24"/>
      <c r="DH44" s="24"/>
      <c r="DI44" s="24"/>
      <c r="DJ44" s="24"/>
      <c r="DK44" s="24"/>
      <c r="DL44" s="24"/>
      <c r="DM44" s="24"/>
      <c r="DN44" s="24"/>
      <c r="DO44" s="24"/>
      <c r="DP44" s="24"/>
      <c r="DQ44" s="24"/>
      <c r="DR44" s="24"/>
      <c r="DS44" s="24"/>
      <c r="DT44" s="24"/>
      <c r="DU44" s="24"/>
      <c r="DV44" s="24"/>
      <c r="DW44" s="24"/>
      <c r="DX44" s="24"/>
      <c r="DY44" s="24"/>
      <c r="DZ44" s="24"/>
      <c r="EA44" s="24"/>
      <c r="EB44" s="24"/>
      <c r="EC44" s="24"/>
      <c r="ED44" s="24"/>
      <c r="EE44" s="24"/>
      <c r="EF44" s="24"/>
      <c r="EG44" s="24"/>
      <c r="EH44" s="24"/>
      <c r="EI44" s="24"/>
      <c r="EJ44" s="24"/>
      <c r="EK44" s="24"/>
      <c r="EL44" s="24"/>
      <c r="EM44" s="24"/>
      <c r="EN44" s="24"/>
      <c r="EO44" s="24"/>
      <c r="EP44" s="24"/>
      <c r="EQ44" s="24"/>
      <c r="ER44" s="24"/>
      <c r="ES44" s="24"/>
      <c r="ET44" s="24"/>
      <c r="EU44" s="24"/>
      <c r="EV44" s="24"/>
      <c r="EW44" s="24"/>
      <c r="EX44" s="24"/>
      <c r="EY44" s="24"/>
      <c r="EZ44" s="24"/>
      <c r="FA44" s="24"/>
      <c r="FB44" s="24"/>
      <c r="FC44" s="24"/>
      <c r="FD44" s="24"/>
      <c r="FE44" s="24"/>
      <c r="FF44" s="24"/>
      <c r="FG44" s="24"/>
      <c r="FH44" s="24"/>
      <c r="FI44" s="24"/>
      <c r="FJ44" s="24"/>
      <c r="FK44" s="24"/>
      <c r="FL44" s="24"/>
    </row>
    <row r="45" spans="1:168" ht="15.75" customHeight="1">
      <c r="A45" s="176"/>
      <c r="B45" s="177"/>
      <c r="C45" s="177"/>
      <c r="D45" s="177"/>
      <c r="E45" s="177"/>
      <c r="F45" s="177"/>
      <c r="G45" s="178"/>
      <c r="H45" s="179"/>
      <c r="J45" s="185"/>
      <c r="O45" s="182"/>
      <c r="P45" s="182"/>
      <c r="Q45" s="1"/>
      <c r="AC45" s="180"/>
      <c r="AD45" s="180"/>
      <c r="AE45" s="180"/>
      <c r="AJ45" s="191"/>
      <c r="BS45" s="181"/>
      <c r="CC45" s="24"/>
      <c r="CD45" s="24"/>
      <c r="CE45" s="24"/>
      <c r="CF45" s="24"/>
      <c r="CG45" s="24"/>
      <c r="CH45" s="24"/>
      <c r="CI45" s="24"/>
      <c r="CJ45" s="24"/>
      <c r="DE45" s="24"/>
      <c r="DF45" s="24"/>
      <c r="DG45" s="24"/>
      <c r="DH45" s="24"/>
      <c r="DI45" s="24"/>
      <c r="DJ45" s="24"/>
      <c r="DK45" s="24"/>
      <c r="DL45" s="24"/>
      <c r="DM45" s="24"/>
      <c r="DN45" s="24"/>
      <c r="DO45" s="24"/>
      <c r="DP45" s="24"/>
      <c r="DQ45" s="24"/>
      <c r="DR45" s="24"/>
      <c r="DS45" s="24"/>
      <c r="DT45" s="24"/>
      <c r="DU45" s="24"/>
      <c r="DV45" s="24"/>
      <c r="DW45" s="24"/>
      <c r="DX45" s="24"/>
      <c r="DY45" s="24"/>
      <c r="DZ45" s="24"/>
      <c r="EA45" s="24"/>
      <c r="EB45" s="24"/>
      <c r="EC45" s="24"/>
      <c r="ED45" s="24"/>
      <c r="EE45" s="24"/>
      <c r="EF45" s="24"/>
      <c r="EG45" s="24"/>
      <c r="EH45" s="24"/>
      <c r="EI45" s="24"/>
      <c r="EJ45" s="24"/>
      <c r="EK45" s="24"/>
      <c r="EL45" s="24"/>
      <c r="EM45" s="24"/>
      <c r="EN45" s="24"/>
      <c r="EO45" s="24"/>
      <c r="EP45" s="24"/>
      <c r="EQ45" s="24"/>
      <c r="ER45" s="24"/>
      <c r="ES45" s="24"/>
      <c r="ET45" s="24"/>
      <c r="EU45" s="24"/>
      <c r="EV45" s="24"/>
      <c r="EW45" s="24"/>
      <c r="EX45" s="24"/>
      <c r="EY45" s="24"/>
      <c r="EZ45" s="24"/>
      <c r="FA45" s="24"/>
      <c r="FB45" s="24"/>
      <c r="FC45" s="24"/>
      <c r="FD45" s="24"/>
      <c r="FE45" s="24"/>
      <c r="FF45" s="24"/>
      <c r="FG45" s="24"/>
      <c r="FH45" s="24"/>
      <c r="FI45" s="24"/>
      <c r="FJ45" s="24"/>
      <c r="FK45" s="24"/>
      <c r="FL45" s="24"/>
    </row>
    <row r="46" spans="1:168" ht="15.75" customHeight="1">
      <c r="A46" s="176"/>
      <c r="B46" s="177"/>
      <c r="C46" s="177"/>
      <c r="D46" s="177"/>
      <c r="E46" s="177"/>
      <c r="F46" s="177"/>
      <c r="G46" s="178"/>
      <c r="H46" s="179"/>
      <c r="J46" s="185"/>
      <c r="O46" s="182"/>
      <c r="P46" s="182"/>
      <c r="Q46" s="1"/>
      <c r="AC46" s="180"/>
      <c r="AD46" s="180"/>
      <c r="AE46" s="180"/>
      <c r="AJ46" s="191"/>
      <c r="BS46" s="181"/>
      <c r="CC46" s="24"/>
      <c r="CD46" s="24"/>
      <c r="CE46" s="24"/>
      <c r="CF46" s="24"/>
      <c r="CG46" s="24"/>
      <c r="CH46" s="24"/>
      <c r="CI46" s="24"/>
      <c r="CJ46" s="24"/>
      <c r="DE46" s="24"/>
      <c r="DF46" s="24"/>
      <c r="DG46" s="24"/>
      <c r="DH46" s="24"/>
      <c r="DI46" s="24"/>
      <c r="DJ46" s="24"/>
      <c r="DK46" s="24"/>
      <c r="DL46" s="24"/>
      <c r="DM46" s="24"/>
      <c r="DN46" s="24"/>
      <c r="DO46" s="24"/>
      <c r="DP46" s="24"/>
      <c r="DQ46" s="24"/>
      <c r="DR46" s="24"/>
      <c r="DS46" s="24"/>
      <c r="DT46" s="24"/>
      <c r="DU46" s="24"/>
      <c r="DV46" s="24"/>
      <c r="DW46" s="24"/>
      <c r="DX46" s="24"/>
      <c r="DY46" s="24"/>
      <c r="DZ46" s="24"/>
      <c r="EA46" s="24"/>
      <c r="EB46" s="24"/>
      <c r="EC46" s="24"/>
      <c r="ED46" s="24"/>
      <c r="EE46" s="24"/>
      <c r="EF46" s="24"/>
      <c r="EG46" s="24"/>
      <c r="EH46" s="24"/>
      <c r="EI46" s="24"/>
      <c r="EJ46" s="24"/>
      <c r="EK46" s="24"/>
      <c r="EL46" s="24"/>
      <c r="EM46" s="24"/>
      <c r="EN46" s="24"/>
      <c r="EO46" s="24"/>
      <c r="EP46" s="24"/>
      <c r="EQ46" s="24"/>
      <c r="ER46" s="24"/>
      <c r="ES46" s="24"/>
      <c r="ET46" s="24"/>
      <c r="EU46" s="24"/>
      <c r="EV46" s="24"/>
      <c r="EW46" s="24"/>
      <c r="EX46" s="24"/>
      <c r="EY46" s="24"/>
      <c r="EZ46" s="24"/>
      <c r="FA46" s="24"/>
      <c r="FB46" s="24"/>
      <c r="FC46" s="24"/>
      <c r="FD46" s="24"/>
      <c r="FE46" s="24"/>
      <c r="FF46" s="24"/>
      <c r="FG46" s="24"/>
      <c r="FH46" s="24"/>
      <c r="FI46" s="24"/>
      <c r="FJ46" s="24"/>
      <c r="FK46" s="24"/>
      <c r="FL46" s="24"/>
    </row>
    <row r="47" spans="1:168" ht="15.75" customHeight="1">
      <c r="A47" s="176"/>
      <c r="B47" s="177"/>
      <c r="C47" s="177"/>
      <c r="D47" s="177"/>
      <c r="E47" s="177"/>
      <c r="F47" s="177"/>
      <c r="G47" s="178"/>
      <c r="H47" s="179"/>
      <c r="J47" s="185"/>
      <c r="O47" s="182"/>
      <c r="P47" s="182"/>
      <c r="Q47" s="1"/>
      <c r="AC47" s="180"/>
      <c r="AD47" s="180"/>
      <c r="AE47" s="180"/>
      <c r="AJ47" s="191"/>
      <c r="BS47" s="181"/>
      <c r="CC47" s="24"/>
      <c r="CD47" s="24"/>
      <c r="CE47" s="24"/>
      <c r="CF47" s="24"/>
      <c r="CG47" s="24"/>
      <c r="CH47" s="24"/>
      <c r="CI47" s="24"/>
      <c r="CJ47" s="24"/>
      <c r="DE47" s="24"/>
      <c r="DF47" s="24"/>
      <c r="DG47" s="24"/>
      <c r="DH47" s="24"/>
      <c r="DI47" s="24"/>
      <c r="DJ47" s="24"/>
      <c r="DK47" s="24"/>
      <c r="DL47" s="24"/>
      <c r="DM47" s="24"/>
      <c r="DN47" s="24"/>
      <c r="DO47" s="24"/>
      <c r="DP47" s="24"/>
      <c r="DQ47" s="24"/>
      <c r="DR47" s="24"/>
      <c r="DS47" s="24"/>
      <c r="DT47" s="24"/>
      <c r="DU47" s="24"/>
      <c r="DV47" s="24"/>
      <c r="DW47" s="24"/>
      <c r="DX47" s="24"/>
      <c r="DY47" s="24"/>
      <c r="DZ47" s="24"/>
      <c r="EA47" s="24"/>
      <c r="EB47" s="24"/>
      <c r="EC47" s="24"/>
      <c r="ED47" s="24"/>
      <c r="EE47" s="24"/>
      <c r="EF47" s="24"/>
      <c r="EG47" s="24"/>
      <c r="EH47" s="24"/>
      <c r="EI47" s="24"/>
      <c r="EJ47" s="24"/>
      <c r="EK47" s="24"/>
      <c r="EL47" s="24"/>
      <c r="EM47" s="24"/>
      <c r="EN47" s="24"/>
      <c r="EO47" s="24"/>
      <c r="EP47" s="24"/>
      <c r="EQ47" s="24"/>
      <c r="ER47" s="24"/>
      <c r="ES47" s="24"/>
      <c r="ET47" s="24"/>
      <c r="EU47" s="24"/>
      <c r="EV47" s="24"/>
      <c r="EW47" s="24"/>
      <c r="EX47" s="24"/>
      <c r="EY47" s="24"/>
      <c r="EZ47" s="24"/>
      <c r="FA47" s="24"/>
      <c r="FB47" s="24"/>
      <c r="FC47" s="24"/>
      <c r="FD47" s="24"/>
      <c r="FE47" s="24"/>
      <c r="FF47" s="24"/>
      <c r="FG47" s="24"/>
      <c r="FH47" s="24"/>
      <c r="FI47" s="24"/>
      <c r="FJ47" s="24"/>
      <c r="FK47" s="24"/>
      <c r="FL47" s="24"/>
    </row>
    <row r="48" spans="1:168" ht="15.75" customHeight="1">
      <c r="A48" s="176"/>
      <c r="B48" s="177"/>
      <c r="C48" s="177"/>
      <c r="D48" s="177"/>
      <c r="E48" s="177"/>
      <c r="F48" s="177"/>
      <c r="G48" s="178"/>
      <c r="H48" s="179"/>
      <c r="J48" s="185"/>
      <c r="O48" s="182"/>
      <c r="P48" s="182"/>
      <c r="Q48" s="1"/>
      <c r="AC48" s="180"/>
      <c r="AD48" s="180"/>
      <c r="AE48" s="180"/>
      <c r="AJ48" s="191"/>
      <c r="BS48" s="181"/>
      <c r="CC48" s="24"/>
      <c r="CD48" s="24"/>
      <c r="CE48" s="24"/>
      <c r="CF48" s="24"/>
      <c r="CG48" s="24"/>
      <c r="CH48" s="24"/>
      <c r="CI48" s="24"/>
      <c r="CJ48" s="24"/>
      <c r="DE48" s="24"/>
      <c r="DF48" s="24"/>
      <c r="DG48" s="24"/>
      <c r="DH48" s="24"/>
      <c r="DI48" s="24"/>
      <c r="DJ48" s="24"/>
      <c r="DK48" s="24"/>
      <c r="DL48" s="24"/>
      <c r="DM48" s="24"/>
      <c r="DN48" s="24"/>
      <c r="DO48" s="24"/>
      <c r="DP48" s="24"/>
      <c r="DQ48" s="24"/>
      <c r="DR48" s="24"/>
      <c r="DS48" s="24"/>
      <c r="DT48" s="24"/>
      <c r="DU48" s="24"/>
      <c r="DV48" s="24"/>
      <c r="DW48" s="24"/>
      <c r="DX48" s="24"/>
      <c r="DY48" s="24"/>
      <c r="DZ48" s="24"/>
      <c r="EA48" s="24"/>
      <c r="EB48" s="24"/>
      <c r="EC48" s="24"/>
      <c r="ED48" s="24"/>
      <c r="EE48" s="24"/>
      <c r="EF48" s="24"/>
      <c r="EG48" s="24"/>
      <c r="EH48" s="24"/>
      <c r="EI48" s="24"/>
      <c r="EJ48" s="24"/>
      <c r="EK48" s="24"/>
      <c r="EL48" s="24"/>
      <c r="EM48" s="24"/>
      <c r="EN48" s="24"/>
      <c r="EO48" s="24"/>
      <c r="EP48" s="24"/>
      <c r="EQ48" s="24"/>
      <c r="ER48" s="24"/>
      <c r="ES48" s="24"/>
      <c r="ET48" s="24"/>
      <c r="EU48" s="24"/>
      <c r="EV48" s="24"/>
      <c r="EW48" s="24"/>
      <c r="EX48" s="24"/>
      <c r="EY48" s="24"/>
      <c r="EZ48" s="24"/>
      <c r="FA48" s="24"/>
      <c r="FB48" s="24"/>
      <c r="FC48" s="24"/>
      <c r="FD48" s="24"/>
      <c r="FE48" s="24"/>
      <c r="FF48" s="24"/>
      <c r="FG48" s="24"/>
      <c r="FH48" s="24"/>
      <c r="FI48" s="24"/>
      <c r="FJ48" s="24"/>
      <c r="FK48" s="24"/>
      <c r="FL48" s="24"/>
    </row>
    <row r="49" spans="1:168" ht="15.75" customHeight="1">
      <c r="A49" s="176"/>
      <c r="B49" s="177"/>
      <c r="C49" s="177"/>
      <c r="D49" s="177"/>
      <c r="E49" s="177"/>
      <c r="F49" s="177"/>
      <c r="G49" s="178"/>
      <c r="H49" s="179"/>
      <c r="J49" s="185"/>
      <c r="O49" s="182"/>
      <c r="P49" s="182"/>
      <c r="Q49" s="1"/>
      <c r="AC49" s="180"/>
      <c r="AD49" s="180"/>
      <c r="AE49" s="180"/>
      <c r="AJ49" s="191"/>
      <c r="BS49" s="181"/>
      <c r="CC49" s="24"/>
      <c r="CD49" s="24"/>
      <c r="CE49" s="24"/>
      <c r="CF49" s="24"/>
      <c r="CG49" s="24"/>
      <c r="CH49" s="24"/>
      <c r="CI49" s="24"/>
      <c r="CJ49" s="24"/>
      <c r="DE49" s="24"/>
      <c r="DF49" s="24"/>
      <c r="DG49" s="24"/>
      <c r="DH49" s="24"/>
      <c r="DI49" s="24"/>
      <c r="DJ49" s="24"/>
      <c r="DK49" s="24"/>
      <c r="DL49" s="24"/>
      <c r="DM49" s="24"/>
      <c r="DN49" s="24"/>
      <c r="DO49" s="24"/>
      <c r="DP49" s="24"/>
      <c r="DQ49" s="24"/>
      <c r="DR49" s="24"/>
      <c r="DS49" s="24"/>
      <c r="DT49" s="24"/>
      <c r="DU49" s="24"/>
      <c r="DV49" s="24"/>
      <c r="DW49" s="24"/>
      <c r="DX49" s="24"/>
      <c r="DY49" s="24"/>
      <c r="DZ49" s="24"/>
      <c r="EA49" s="24"/>
      <c r="EB49" s="24"/>
      <c r="EC49" s="24"/>
      <c r="ED49" s="24"/>
      <c r="EE49" s="24"/>
      <c r="EF49" s="24"/>
      <c r="EG49" s="24"/>
      <c r="EH49" s="24"/>
      <c r="EI49" s="24"/>
      <c r="EJ49" s="24"/>
      <c r="EK49" s="24"/>
      <c r="EL49" s="24"/>
      <c r="EM49" s="24"/>
      <c r="EN49" s="24"/>
      <c r="EO49" s="24"/>
      <c r="EP49" s="24"/>
      <c r="EQ49" s="24"/>
      <c r="ER49" s="24"/>
      <c r="ES49" s="24"/>
      <c r="ET49" s="24"/>
      <c r="EU49" s="24"/>
      <c r="EV49" s="24"/>
      <c r="EW49" s="24"/>
      <c r="EX49" s="24"/>
      <c r="EY49" s="24"/>
      <c r="EZ49" s="24"/>
      <c r="FA49" s="24"/>
      <c r="FB49" s="24"/>
      <c r="FC49" s="24"/>
      <c r="FD49" s="24"/>
      <c r="FE49" s="24"/>
      <c r="FF49" s="24"/>
      <c r="FG49" s="24"/>
      <c r="FH49" s="24"/>
      <c r="FI49" s="24"/>
      <c r="FJ49" s="24"/>
      <c r="FK49" s="24"/>
      <c r="FL49" s="24"/>
    </row>
    <row r="50" spans="1:168" ht="15.75" customHeight="1">
      <c r="A50" s="176"/>
      <c r="B50" s="177"/>
      <c r="C50" s="177"/>
      <c r="D50" s="177"/>
      <c r="E50" s="177"/>
      <c r="F50" s="177"/>
      <c r="G50" s="178"/>
      <c r="H50" s="179"/>
      <c r="J50" s="185"/>
      <c r="O50" s="182"/>
      <c r="P50" s="182"/>
      <c r="Q50" s="1"/>
      <c r="AC50" s="180"/>
      <c r="AD50" s="180"/>
      <c r="AE50" s="180"/>
      <c r="AJ50" s="191"/>
      <c r="BS50" s="181"/>
      <c r="CC50" s="24"/>
      <c r="CD50" s="24"/>
      <c r="CE50" s="24"/>
      <c r="CF50" s="24"/>
      <c r="CG50" s="24"/>
      <c r="CH50" s="24"/>
      <c r="CI50" s="24"/>
      <c r="CJ50" s="24"/>
      <c r="DE50" s="24"/>
      <c r="DF50" s="24"/>
      <c r="DG50" s="24"/>
      <c r="DH50" s="24"/>
      <c r="DI50" s="24"/>
      <c r="DJ50" s="24"/>
      <c r="DK50" s="24"/>
      <c r="DL50" s="24"/>
      <c r="DM50" s="24"/>
      <c r="DN50" s="24"/>
      <c r="DO50" s="24"/>
      <c r="DP50" s="24"/>
      <c r="DQ50" s="24"/>
      <c r="DR50" s="24"/>
      <c r="DS50" s="24"/>
      <c r="DT50" s="24"/>
      <c r="DU50" s="24"/>
      <c r="DV50" s="24"/>
      <c r="DW50" s="24"/>
      <c r="DX50" s="24"/>
      <c r="DY50" s="24"/>
      <c r="DZ50" s="24"/>
      <c r="EA50" s="24"/>
      <c r="EB50" s="24"/>
      <c r="EC50" s="24"/>
      <c r="ED50" s="24"/>
      <c r="EE50" s="24"/>
      <c r="EF50" s="24"/>
      <c r="EG50" s="24"/>
      <c r="EH50" s="24"/>
      <c r="EI50" s="24"/>
      <c r="EJ50" s="24"/>
      <c r="EK50" s="24"/>
      <c r="EL50" s="24"/>
      <c r="EM50" s="24"/>
      <c r="EN50" s="24"/>
      <c r="EO50" s="24"/>
      <c r="EP50" s="24"/>
      <c r="EQ50" s="24"/>
      <c r="ER50" s="24"/>
      <c r="ES50" s="24"/>
      <c r="ET50" s="24"/>
      <c r="EU50" s="24"/>
      <c r="EV50" s="24"/>
      <c r="EW50" s="24"/>
      <c r="EX50" s="24"/>
      <c r="EY50" s="24"/>
      <c r="EZ50" s="24"/>
      <c r="FA50" s="24"/>
      <c r="FB50" s="24"/>
      <c r="FC50" s="24"/>
      <c r="FD50" s="24"/>
      <c r="FE50" s="24"/>
      <c r="FF50" s="24"/>
      <c r="FG50" s="24"/>
      <c r="FH50" s="24"/>
      <c r="FI50" s="24"/>
      <c r="FJ50" s="24"/>
      <c r="FK50" s="24"/>
      <c r="FL50" s="24"/>
    </row>
    <row r="51" spans="1:168" ht="15.75" customHeight="1">
      <c r="A51" s="176"/>
      <c r="B51" s="177"/>
      <c r="C51" s="177"/>
      <c r="D51" s="177"/>
      <c r="E51" s="177"/>
      <c r="F51" s="177"/>
      <c r="G51" s="178"/>
      <c r="H51" s="179"/>
      <c r="J51" s="185"/>
      <c r="O51" s="182"/>
      <c r="P51" s="182"/>
      <c r="Q51" s="1"/>
      <c r="AC51" s="180"/>
      <c r="AD51" s="180"/>
      <c r="AE51" s="180"/>
      <c r="AJ51" s="191"/>
      <c r="BS51" s="181"/>
      <c r="CC51" s="24"/>
      <c r="CD51" s="24"/>
      <c r="CE51" s="24"/>
      <c r="CF51" s="24"/>
      <c r="CG51" s="24"/>
      <c r="CH51" s="24"/>
      <c r="CI51" s="24"/>
      <c r="CJ51" s="24"/>
      <c r="DE51" s="24"/>
      <c r="DF51" s="24"/>
      <c r="DG51" s="24"/>
      <c r="DH51" s="24"/>
      <c r="DI51" s="24"/>
      <c r="DJ51" s="24"/>
      <c r="DK51" s="24"/>
      <c r="DL51" s="24"/>
      <c r="DM51" s="24"/>
      <c r="DN51" s="24"/>
      <c r="DO51" s="24"/>
      <c r="DP51" s="24"/>
      <c r="DQ51" s="24"/>
      <c r="DR51" s="24"/>
      <c r="DS51" s="24"/>
      <c r="DT51" s="24"/>
      <c r="DU51" s="24"/>
      <c r="DV51" s="24"/>
      <c r="DW51" s="24"/>
      <c r="DX51" s="24"/>
      <c r="DY51" s="24"/>
      <c r="DZ51" s="24"/>
      <c r="EA51" s="24"/>
      <c r="EB51" s="24"/>
      <c r="EC51" s="24"/>
      <c r="ED51" s="24"/>
      <c r="EE51" s="24"/>
      <c r="EF51" s="24"/>
      <c r="EG51" s="24"/>
      <c r="EH51" s="24"/>
      <c r="EI51" s="24"/>
      <c r="EJ51" s="24"/>
      <c r="EK51" s="24"/>
      <c r="EL51" s="24"/>
      <c r="EM51" s="24"/>
      <c r="EN51" s="24"/>
      <c r="EO51" s="24"/>
      <c r="EP51" s="24"/>
      <c r="EQ51" s="24"/>
      <c r="ER51" s="24"/>
      <c r="ES51" s="24"/>
      <c r="ET51" s="24"/>
      <c r="EU51" s="24"/>
      <c r="EV51" s="24"/>
      <c r="EW51" s="24"/>
      <c r="EX51" s="24"/>
      <c r="EY51" s="24"/>
      <c r="EZ51" s="24"/>
      <c r="FA51" s="24"/>
      <c r="FB51" s="24"/>
      <c r="FC51" s="24"/>
      <c r="FD51" s="24"/>
      <c r="FE51" s="24"/>
      <c r="FF51" s="24"/>
      <c r="FG51" s="24"/>
      <c r="FH51" s="24"/>
      <c r="FI51" s="24"/>
      <c r="FJ51" s="24"/>
      <c r="FK51" s="24"/>
      <c r="FL51" s="24"/>
    </row>
    <row r="52" spans="1:168" ht="15.75" customHeight="1">
      <c r="A52" s="176"/>
      <c r="B52" s="177"/>
      <c r="C52" s="177"/>
      <c r="D52" s="177"/>
      <c r="E52" s="177"/>
      <c r="F52" s="177"/>
      <c r="G52" s="178"/>
      <c r="H52" s="179"/>
      <c r="J52" s="185"/>
      <c r="O52" s="182"/>
      <c r="P52" s="182"/>
      <c r="Q52" s="1"/>
      <c r="AC52" s="180"/>
      <c r="AD52" s="180"/>
      <c r="AE52" s="180"/>
      <c r="AJ52" s="191"/>
      <c r="BS52" s="181"/>
      <c r="CC52" s="24"/>
      <c r="CD52" s="24"/>
      <c r="CE52" s="24"/>
      <c r="CF52" s="24"/>
      <c r="CG52" s="24"/>
      <c r="CH52" s="24"/>
      <c r="CI52" s="24"/>
      <c r="CJ52" s="24"/>
      <c r="DE52" s="24"/>
      <c r="DF52" s="24"/>
      <c r="DG52" s="24"/>
      <c r="DH52" s="24"/>
      <c r="DI52" s="24"/>
      <c r="DJ52" s="24"/>
      <c r="DK52" s="24"/>
      <c r="DL52" s="24"/>
      <c r="DM52" s="24"/>
      <c r="DN52" s="24"/>
      <c r="DO52" s="24"/>
      <c r="DP52" s="24"/>
      <c r="DQ52" s="24"/>
      <c r="DR52" s="24"/>
      <c r="DS52" s="24"/>
      <c r="DT52" s="24"/>
      <c r="DU52" s="24"/>
      <c r="DV52" s="24"/>
      <c r="DW52" s="24"/>
      <c r="DX52" s="24"/>
      <c r="DY52" s="24"/>
      <c r="DZ52" s="24"/>
      <c r="EA52" s="24"/>
      <c r="EB52" s="24"/>
      <c r="EC52" s="24"/>
      <c r="ED52" s="24"/>
      <c r="EE52" s="24"/>
      <c r="EF52" s="24"/>
      <c r="EG52" s="24"/>
      <c r="EH52" s="24"/>
      <c r="EI52" s="24"/>
      <c r="EJ52" s="24"/>
      <c r="EK52" s="24"/>
      <c r="EL52" s="24"/>
      <c r="EM52" s="24"/>
      <c r="EN52" s="24"/>
      <c r="EO52" s="24"/>
      <c r="EP52" s="24"/>
      <c r="EQ52" s="24"/>
      <c r="ER52" s="24"/>
      <c r="ES52" s="24"/>
      <c r="ET52" s="24"/>
      <c r="EU52" s="24"/>
      <c r="EV52" s="24"/>
      <c r="EW52" s="24"/>
      <c r="EX52" s="24"/>
      <c r="EY52" s="24"/>
      <c r="EZ52" s="24"/>
      <c r="FA52" s="24"/>
      <c r="FB52" s="24"/>
      <c r="FC52" s="24"/>
      <c r="FD52" s="24"/>
      <c r="FE52" s="24"/>
      <c r="FF52" s="24"/>
      <c r="FG52" s="24"/>
      <c r="FH52" s="24"/>
      <c r="FI52" s="24"/>
      <c r="FJ52" s="24"/>
      <c r="FK52" s="24"/>
      <c r="FL52" s="24"/>
    </row>
    <row r="53" spans="1:168" ht="15.75" customHeight="1">
      <c r="A53" s="176"/>
      <c r="B53" s="177"/>
      <c r="C53" s="177"/>
      <c r="D53" s="177"/>
      <c r="E53" s="177"/>
      <c r="F53" s="177"/>
      <c r="G53" s="178"/>
      <c r="H53" s="179"/>
      <c r="J53" s="185"/>
      <c r="O53" s="182"/>
      <c r="P53" s="182"/>
      <c r="Q53" s="1"/>
      <c r="AC53" s="180"/>
      <c r="AD53" s="180"/>
      <c r="AE53" s="180"/>
      <c r="AJ53" s="191"/>
      <c r="BS53" s="181"/>
      <c r="CC53" s="24"/>
      <c r="CD53" s="24"/>
      <c r="CE53" s="24"/>
      <c r="CF53" s="24"/>
      <c r="CG53" s="24"/>
      <c r="CH53" s="24"/>
      <c r="CI53" s="24"/>
      <c r="CJ53" s="24"/>
      <c r="DE53" s="24"/>
      <c r="DF53" s="24"/>
      <c r="DG53" s="24"/>
      <c r="DH53" s="24"/>
      <c r="DI53" s="24"/>
      <c r="DJ53" s="24"/>
      <c r="DK53" s="24"/>
      <c r="DL53" s="24"/>
      <c r="DM53" s="24"/>
      <c r="DN53" s="24"/>
      <c r="DO53" s="24"/>
      <c r="DP53" s="24"/>
      <c r="DQ53" s="24"/>
      <c r="DR53" s="24"/>
      <c r="DS53" s="24"/>
      <c r="DT53" s="24"/>
      <c r="DU53" s="24"/>
      <c r="DV53" s="24"/>
      <c r="DW53" s="24"/>
      <c r="DX53" s="24"/>
      <c r="DY53" s="24"/>
      <c r="DZ53" s="24"/>
      <c r="EA53" s="24"/>
      <c r="EB53" s="24"/>
      <c r="EC53" s="24"/>
      <c r="ED53" s="24"/>
      <c r="EE53" s="24"/>
      <c r="EF53" s="24"/>
      <c r="EG53" s="24"/>
      <c r="EH53" s="24"/>
      <c r="EI53" s="24"/>
      <c r="EJ53" s="24"/>
      <c r="EK53" s="24"/>
      <c r="EL53" s="24"/>
      <c r="EM53" s="24"/>
      <c r="EN53" s="24"/>
      <c r="EO53" s="24"/>
      <c r="EP53" s="24"/>
      <c r="EQ53" s="24"/>
      <c r="ER53" s="24"/>
      <c r="ES53" s="24"/>
      <c r="ET53" s="24"/>
      <c r="EU53" s="24"/>
      <c r="EV53" s="24"/>
      <c r="EW53" s="24"/>
      <c r="EX53" s="24"/>
      <c r="EY53" s="24"/>
      <c r="EZ53" s="24"/>
      <c r="FA53" s="24"/>
      <c r="FB53" s="24"/>
      <c r="FC53" s="24"/>
      <c r="FD53" s="24"/>
      <c r="FE53" s="24"/>
      <c r="FF53" s="24"/>
      <c r="FG53" s="24"/>
      <c r="FH53" s="24"/>
      <c r="FI53" s="24"/>
      <c r="FJ53" s="24"/>
      <c r="FK53" s="24"/>
      <c r="FL53" s="24"/>
    </row>
    <row r="54" spans="1:168" ht="15.75" customHeight="1">
      <c r="A54" s="176"/>
      <c r="B54" s="177"/>
      <c r="C54" s="177"/>
      <c r="D54" s="177"/>
      <c r="E54" s="177"/>
      <c r="F54" s="177"/>
      <c r="G54" s="178"/>
      <c r="H54" s="179"/>
      <c r="J54" s="185"/>
      <c r="O54" s="182"/>
      <c r="P54" s="182"/>
      <c r="Q54" s="1"/>
      <c r="AC54" s="180"/>
      <c r="AD54" s="180"/>
      <c r="AE54" s="180"/>
      <c r="AJ54" s="191"/>
      <c r="BS54" s="181"/>
      <c r="CC54" s="24"/>
      <c r="CD54" s="24"/>
      <c r="CE54" s="24"/>
      <c r="CF54" s="24"/>
      <c r="CG54" s="24"/>
      <c r="CH54" s="24"/>
      <c r="CI54" s="24"/>
      <c r="CJ54" s="24"/>
      <c r="DE54" s="24"/>
      <c r="DF54" s="24"/>
      <c r="DG54" s="24"/>
      <c r="DH54" s="24"/>
      <c r="DI54" s="24"/>
      <c r="DJ54" s="24"/>
      <c r="DK54" s="24"/>
      <c r="DL54" s="24"/>
      <c r="DM54" s="24"/>
      <c r="DN54" s="24"/>
      <c r="DO54" s="24"/>
      <c r="DP54" s="24"/>
      <c r="DQ54" s="24"/>
      <c r="DR54" s="24"/>
      <c r="DS54" s="24"/>
      <c r="DT54" s="24"/>
      <c r="DU54" s="24"/>
      <c r="DV54" s="24"/>
      <c r="DW54" s="24"/>
      <c r="DX54" s="24"/>
      <c r="DY54" s="24"/>
      <c r="DZ54" s="24"/>
      <c r="EA54" s="24"/>
      <c r="EB54" s="24"/>
      <c r="EC54" s="24"/>
      <c r="ED54" s="24"/>
      <c r="EE54" s="24"/>
      <c r="EF54" s="24"/>
      <c r="EG54" s="24"/>
      <c r="EH54" s="24"/>
      <c r="EI54" s="24"/>
      <c r="EJ54" s="24"/>
      <c r="EK54" s="24"/>
      <c r="EL54" s="24"/>
      <c r="EM54" s="24"/>
      <c r="EN54" s="24"/>
      <c r="EO54" s="24"/>
      <c r="EP54" s="24"/>
      <c r="EQ54" s="24"/>
      <c r="ER54" s="24"/>
      <c r="ES54" s="24"/>
      <c r="ET54" s="24"/>
      <c r="EU54" s="24"/>
      <c r="EV54" s="24"/>
      <c r="EW54" s="24"/>
      <c r="EX54" s="24"/>
      <c r="EY54" s="24"/>
      <c r="EZ54" s="24"/>
      <c r="FA54" s="24"/>
      <c r="FB54" s="24"/>
      <c r="FC54" s="24"/>
      <c r="FD54" s="24"/>
      <c r="FE54" s="24"/>
      <c r="FF54" s="24"/>
      <c r="FG54" s="24"/>
      <c r="FH54" s="24"/>
      <c r="FI54" s="24"/>
      <c r="FJ54" s="24"/>
      <c r="FK54" s="24"/>
      <c r="FL54" s="24"/>
    </row>
    <row r="55" spans="1:168" ht="15.75" customHeight="1">
      <c r="A55" s="176"/>
      <c r="B55" s="177"/>
      <c r="C55" s="177"/>
      <c r="D55" s="177"/>
      <c r="E55" s="177"/>
      <c r="F55" s="177"/>
      <c r="G55" s="178"/>
      <c r="H55" s="179"/>
      <c r="J55" s="185"/>
      <c r="O55" s="182"/>
      <c r="P55" s="182"/>
      <c r="Q55" s="1"/>
      <c r="AC55" s="180"/>
      <c r="AD55" s="180"/>
      <c r="AE55" s="180"/>
      <c r="AJ55" s="191"/>
      <c r="BS55" s="181"/>
      <c r="CC55" s="24"/>
      <c r="CD55" s="24"/>
      <c r="CE55" s="24"/>
      <c r="CF55" s="24"/>
      <c r="CG55" s="24"/>
      <c r="CH55" s="24"/>
      <c r="CI55" s="24"/>
      <c r="CJ55" s="24"/>
      <c r="DE55" s="24"/>
      <c r="DF55" s="24"/>
      <c r="DG55" s="24"/>
      <c r="DH55" s="24"/>
      <c r="DI55" s="24"/>
      <c r="DJ55" s="24"/>
      <c r="DK55" s="24"/>
      <c r="DL55" s="24"/>
      <c r="DM55" s="24"/>
      <c r="DN55" s="24"/>
      <c r="DO55" s="24"/>
      <c r="DP55" s="24"/>
      <c r="DQ55" s="24"/>
      <c r="DR55" s="24"/>
      <c r="DS55" s="24"/>
      <c r="DT55" s="24"/>
      <c r="DU55" s="24"/>
      <c r="DV55" s="24"/>
      <c r="DW55" s="24"/>
      <c r="DX55" s="24"/>
      <c r="DY55" s="24"/>
      <c r="DZ55" s="24"/>
      <c r="EA55" s="24"/>
      <c r="EB55" s="24"/>
      <c r="EC55" s="24"/>
      <c r="ED55" s="24"/>
      <c r="EE55" s="24"/>
      <c r="EF55" s="24"/>
      <c r="EG55" s="24"/>
      <c r="EH55" s="24"/>
      <c r="EI55" s="24"/>
      <c r="EJ55" s="24"/>
      <c r="EK55" s="24"/>
      <c r="EL55" s="24"/>
      <c r="EM55" s="24"/>
      <c r="EN55" s="24"/>
      <c r="EO55" s="24"/>
      <c r="EP55" s="24"/>
      <c r="EQ55" s="24"/>
      <c r="ER55" s="24"/>
      <c r="ES55" s="24"/>
      <c r="ET55" s="24"/>
      <c r="EU55" s="24"/>
      <c r="EV55" s="24"/>
      <c r="EW55" s="24"/>
      <c r="EX55" s="24"/>
      <c r="EY55" s="24"/>
      <c r="EZ55" s="24"/>
      <c r="FA55" s="24"/>
      <c r="FB55" s="24"/>
      <c r="FC55" s="24"/>
      <c r="FD55" s="24"/>
      <c r="FE55" s="24"/>
      <c r="FF55" s="24"/>
      <c r="FG55" s="24"/>
      <c r="FH55" s="24"/>
      <c r="FI55" s="24"/>
      <c r="FJ55" s="24"/>
      <c r="FK55" s="24"/>
      <c r="FL55" s="24"/>
    </row>
    <row r="56" spans="1:168" ht="15.75" customHeight="1">
      <c r="A56" s="176"/>
      <c r="B56" s="177"/>
      <c r="C56" s="177"/>
      <c r="D56" s="177"/>
      <c r="E56" s="177"/>
      <c r="F56" s="177"/>
      <c r="G56" s="178"/>
      <c r="H56" s="179"/>
      <c r="J56" s="185"/>
      <c r="O56" s="182"/>
      <c r="P56" s="182"/>
      <c r="Q56" s="1"/>
      <c r="AC56" s="180"/>
      <c r="AD56" s="180"/>
      <c r="AE56" s="180"/>
      <c r="AJ56" s="191"/>
      <c r="BS56" s="181"/>
      <c r="CC56" s="24"/>
      <c r="CD56" s="24"/>
      <c r="CE56" s="24"/>
      <c r="CF56" s="24"/>
      <c r="CG56" s="24"/>
      <c r="CH56" s="24"/>
      <c r="CI56" s="24"/>
      <c r="CJ56" s="24"/>
      <c r="DE56" s="24"/>
      <c r="DF56" s="24"/>
      <c r="DG56" s="24"/>
      <c r="DH56" s="24"/>
      <c r="DI56" s="24"/>
      <c r="DJ56" s="24"/>
      <c r="DK56" s="24"/>
      <c r="DL56" s="24"/>
      <c r="DM56" s="24"/>
      <c r="DN56" s="24"/>
      <c r="DO56" s="24"/>
      <c r="DP56" s="24"/>
      <c r="DQ56" s="24"/>
      <c r="DR56" s="24"/>
      <c r="DS56" s="24"/>
      <c r="DT56" s="24"/>
      <c r="DU56" s="24"/>
      <c r="DV56" s="24"/>
      <c r="DW56" s="24"/>
      <c r="DX56" s="24"/>
      <c r="DY56" s="24"/>
      <c r="DZ56" s="24"/>
      <c r="EA56" s="24"/>
      <c r="EB56" s="24"/>
      <c r="EC56" s="24"/>
      <c r="ED56" s="24"/>
      <c r="EE56" s="24"/>
      <c r="EF56" s="24"/>
      <c r="EG56" s="24"/>
      <c r="EH56" s="24"/>
      <c r="EI56" s="24"/>
      <c r="EJ56" s="24"/>
      <c r="EK56" s="24"/>
      <c r="EL56" s="24"/>
      <c r="EM56" s="24"/>
      <c r="EN56" s="24"/>
      <c r="EO56" s="24"/>
      <c r="EP56" s="24"/>
      <c r="EQ56" s="24"/>
      <c r="ER56" s="24"/>
      <c r="ES56" s="24"/>
      <c r="ET56" s="24"/>
      <c r="EU56" s="24"/>
      <c r="EV56" s="24"/>
      <c r="EW56" s="24"/>
      <c r="EX56" s="24"/>
      <c r="EY56" s="24"/>
      <c r="EZ56" s="24"/>
      <c r="FA56" s="24"/>
      <c r="FB56" s="24"/>
      <c r="FC56" s="24"/>
      <c r="FD56" s="24"/>
      <c r="FE56" s="24"/>
      <c r="FF56" s="24"/>
      <c r="FG56" s="24"/>
      <c r="FH56" s="24"/>
      <c r="FI56" s="24"/>
      <c r="FJ56" s="24"/>
      <c r="FK56" s="24"/>
      <c r="FL56" s="24"/>
    </row>
    <row r="57" spans="1:168" ht="15.75" customHeight="1">
      <c r="A57" s="176"/>
      <c r="B57" s="177"/>
      <c r="C57" s="177"/>
      <c r="D57" s="177"/>
      <c r="E57" s="177"/>
      <c r="F57" s="177"/>
      <c r="G57" s="178"/>
      <c r="H57" s="179"/>
      <c r="J57" s="185"/>
      <c r="O57" s="182"/>
      <c r="P57" s="182"/>
      <c r="Q57" s="1"/>
      <c r="AC57" s="180"/>
      <c r="AD57" s="180"/>
      <c r="AE57" s="180"/>
      <c r="AJ57" s="191"/>
      <c r="BS57" s="181"/>
      <c r="CC57" s="24"/>
      <c r="CD57" s="24"/>
      <c r="CE57" s="24"/>
      <c r="CF57" s="24"/>
      <c r="CG57" s="24"/>
      <c r="CH57" s="24"/>
      <c r="CI57" s="24"/>
      <c r="CJ57" s="24"/>
      <c r="DE57" s="24"/>
      <c r="DF57" s="24"/>
      <c r="DG57" s="24"/>
      <c r="DH57" s="24"/>
      <c r="DI57" s="24"/>
      <c r="DJ57" s="24"/>
      <c r="DK57" s="24"/>
      <c r="DL57" s="24"/>
      <c r="DM57" s="24"/>
      <c r="DN57" s="24"/>
      <c r="DO57" s="24"/>
      <c r="DP57" s="24"/>
      <c r="DQ57" s="24"/>
      <c r="DR57" s="24"/>
      <c r="DS57" s="24"/>
      <c r="DT57" s="24"/>
      <c r="DU57" s="24"/>
      <c r="DV57" s="24"/>
      <c r="DW57" s="24"/>
      <c r="DX57" s="24"/>
      <c r="DY57" s="24"/>
      <c r="DZ57" s="24"/>
      <c r="EA57" s="24"/>
      <c r="EB57" s="24"/>
      <c r="EC57" s="24"/>
      <c r="ED57" s="24"/>
      <c r="EE57" s="24"/>
      <c r="EF57" s="24"/>
      <c r="EG57" s="24"/>
      <c r="EH57" s="24"/>
      <c r="EI57" s="24"/>
      <c r="EJ57" s="24"/>
      <c r="EK57" s="24"/>
      <c r="EL57" s="24"/>
      <c r="EM57" s="24"/>
      <c r="EN57" s="24"/>
      <c r="EO57" s="24"/>
      <c r="EP57" s="24"/>
      <c r="EQ57" s="24"/>
      <c r="ER57" s="24"/>
      <c r="ES57" s="24"/>
      <c r="ET57" s="24"/>
      <c r="EU57" s="24"/>
      <c r="EV57" s="24"/>
      <c r="EW57" s="24"/>
      <c r="EX57" s="24"/>
      <c r="EY57" s="24"/>
      <c r="EZ57" s="24"/>
      <c r="FA57" s="24"/>
      <c r="FB57" s="24"/>
      <c r="FC57" s="24"/>
      <c r="FD57" s="24"/>
      <c r="FE57" s="24"/>
      <c r="FF57" s="24"/>
      <c r="FG57" s="24"/>
      <c r="FH57" s="24"/>
      <c r="FI57" s="24"/>
      <c r="FJ57" s="24"/>
      <c r="FK57" s="24"/>
      <c r="FL57" s="24"/>
    </row>
    <row r="58" spans="1:168" ht="15.75" customHeight="1">
      <c r="A58" s="176"/>
      <c r="B58" s="177"/>
      <c r="C58" s="177"/>
      <c r="D58" s="177"/>
      <c r="E58" s="177"/>
      <c r="F58" s="177"/>
      <c r="G58" s="178"/>
      <c r="H58" s="179"/>
      <c r="J58" s="185"/>
      <c r="O58" s="182"/>
      <c r="P58" s="182"/>
      <c r="Q58" s="1"/>
      <c r="AC58" s="180"/>
      <c r="AD58" s="180"/>
      <c r="AE58" s="180"/>
      <c r="AJ58" s="191"/>
      <c r="BS58" s="181"/>
      <c r="CC58" s="24"/>
      <c r="CD58" s="24"/>
      <c r="CE58" s="24"/>
      <c r="CF58" s="24"/>
      <c r="CG58" s="24"/>
      <c r="CH58" s="24"/>
      <c r="CI58" s="24"/>
      <c r="CJ58" s="24"/>
      <c r="DE58" s="24"/>
      <c r="DF58" s="24"/>
      <c r="DG58" s="24"/>
      <c r="DH58" s="24"/>
      <c r="DI58" s="24"/>
      <c r="DJ58" s="24"/>
      <c r="DK58" s="24"/>
      <c r="DL58" s="24"/>
      <c r="DM58" s="24"/>
      <c r="DN58" s="24"/>
      <c r="DO58" s="24"/>
      <c r="DP58" s="24"/>
      <c r="DQ58" s="24"/>
      <c r="DR58" s="24"/>
      <c r="DS58" s="24"/>
      <c r="DT58" s="24"/>
      <c r="DU58" s="24"/>
      <c r="DV58" s="24"/>
      <c r="DW58" s="24"/>
      <c r="DX58" s="24"/>
      <c r="DY58" s="24"/>
      <c r="DZ58" s="24"/>
      <c r="EA58" s="24"/>
      <c r="EB58" s="24"/>
      <c r="EC58" s="24"/>
      <c r="ED58" s="24"/>
      <c r="EE58" s="24"/>
      <c r="EF58" s="24"/>
      <c r="EG58" s="24"/>
      <c r="EH58" s="24"/>
      <c r="EI58" s="24"/>
      <c r="EJ58" s="24"/>
      <c r="EK58" s="24"/>
      <c r="EL58" s="24"/>
      <c r="EM58" s="24"/>
      <c r="EN58" s="24"/>
      <c r="EO58" s="24"/>
      <c r="EP58" s="24"/>
      <c r="EQ58" s="24"/>
      <c r="ER58" s="24"/>
      <c r="ES58" s="24"/>
      <c r="ET58" s="24"/>
      <c r="EU58" s="24"/>
      <c r="EV58" s="24"/>
      <c r="EW58" s="24"/>
      <c r="EX58" s="24"/>
      <c r="EY58" s="24"/>
      <c r="EZ58" s="24"/>
      <c r="FA58" s="24"/>
      <c r="FB58" s="24"/>
      <c r="FC58" s="24"/>
      <c r="FD58" s="24"/>
      <c r="FE58" s="24"/>
      <c r="FF58" s="24"/>
      <c r="FG58" s="24"/>
      <c r="FH58" s="24"/>
      <c r="FI58" s="24"/>
      <c r="FJ58" s="24"/>
      <c r="FK58" s="24"/>
      <c r="FL58" s="24"/>
    </row>
    <row r="59" spans="1:168" ht="15.75" customHeight="1">
      <c r="A59" s="176"/>
      <c r="B59" s="177"/>
      <c r="C59" s="177"/>
      <c r="D59" s="177"/>
      <c r="E59" s="177"/>
      <c r="F59" s="177"/>
      <c r="G59" s="178"/>
      <c r="H59" s="179"/>
      <c r="J59" s="185"/>
      <c r="O59" s="182"/>
      <c r="P59" s="182"/>
      <c r="Q59" s="1"/>
      <c r="AC59" s="180"/>
      <c r="AD59" s="180"/>
      <c r="AE59" s="180"/>
      <c r="AJ59" s="191"/>
      <c r="BS59" s="181"/>
      <c r="CC59" s="24"/>
      <c r="CD59" s="24"/>
      <c r="CE59" s="24"/>
      <c r="CF59" s="24"/>
      <c r="CG59" s="24"/>
      <c r="CH59" s="24"/>
      <c r="CI59" s="24"/>
      <c r="CJ59" s="24"/>
      <c r="DE59" s="24"/>
      <c r="DF59" s="24"/>
      <c r="DG59" s="24"/>
      <c r="DH59" s="24"/>
      <c r="DI59" s="24"/>
      <c r="DJ59" s="24"/>
      <c r="DK59" s="24"/>
      <c r="DL59" s="24"/>
      <c r="DM59" s="24"/>
      <c r="DN59" s="24"/>
      <c r="DO59" s="24"/>
      <c r="DP59" s="24"/>
      <c r="DQ59" s="24"/>
      <c r="DR59" s="24"/>
      <c r="DS59" s="24"/>
      <c r="DT59" s="24"/>
      <c r="DU59" s="24"/>
      <c r="DV59" s="24"/>
      <c r="DW59" s="24"/>
      <c r="DX59" s="24"/>
      <c r="DY59" s="24"/>
      <c r="DZ59" s="24"/>
      <c r="EA59" s="24"/>
      <c r="EB59" s="24"/>
      <c r="EC59" s="24"/>
      <c r="ED59" s="24"/>
      <c r="EE59" s="24"/>
      <c r="EF59" s="24"/>
      <c r="EG59" s="24"/>
      <c r="EH59" s="24"/>
      <c r="EI59" s="24"/>
      <c r="EJ59" s="24"/>
      <c r="EK59" s="24"/>
      <c r="EL59" s="24"/>
      <c r="EM59" s="24"/>
      <c r="EN59" s="24"/>
      <c r="EO59" s="24"/>
      <c r="EP59" s="24"/>
      <c r="EQ59" s="24"/>
      <c r="ER59" s="24"/>
      <c r="ES59" s="24"/>
      <c r="ET59" s="24"/>
      <c r="EU59" s="24"/>
      <c r="EV59" s="24"/>
      <c r="EW59" s="24"/>
      <c r="EX59" s="24"/>
      <c r="EY59" s="24"/>
      <c r="EZ59" s="24"/>
      <c r="FA59" s="24"/>
      <c r="FB59" s="24"/>
      <c r="FC59" s="24"/>
      <c r="FD59" s="24"/>
      <c r="FE59" s="24"/>
      <c r="FF59" s="24"/>
      <c r="FG59" s="24"/>
      <c r="FH59" s="24"/>
      <c r="FI59" s="24"/>
      <c r="FJ59" s="24"/>
      <c r="FK59" s="24"/>
      <c r="FL59" s="24"/>
    </row>
    <row r="60" spans="1:168" ht="15.75" customHeight="1">
      <c r="A60" s="176"/>
      <c r="B60" s="177"/>
      <c r="C60" s="177"/>
      <c r="D60" s="177"/>
      <c r="E60" s="177"/>
      <c r="F60" s="177"/>
      <c r="G60" s="178"/>
      <c r="H60" s="179"/>
      <c r="J60" s="185"/>
      <c r="O60" s="182"/>
      <c r="P60" s="182"/>
      <c r="Q60" s="1"/>
      <c r="AC60" s="180"/>
      <c r="AD60" s="180"/>
      <c r="AE60" s="180"/>
      <c r="AJ60" s="191"/>
      <c r="BS60" s="181"/>
      <c r="CC60" s="24"/>
      <c r="CD60" s="24"/>
      <c r="CE60" s="24"/>
      <c r="CF60" s="24"/>
      <c r="CG60" s="24"/>
      <c r="CH60" s="24"/>
      <c r="CI60" s="24"/>
      <c r="CJ60" s="24"/>
      <c r="DE60" s="24"/>
      <c r="DF60" s="24"/>
      <c r="DG60" s="24"/>
      <c r="DH60" s="24"/>
      <c r="DI60" s="24"/>
      <c r="DJ60" s="24"/>
      <c r="DK60" s="24"/>
      <c r="DL60" s="24"/>
      <c r="DM60" s="24"/>
      <c r="DN60" s="24"/>
      <c r="DO60" s="24"/>
      <c r="DP60" s="24"/>
      <c r="DQ60" s="24"/>
      <c r="DR60" s="24"/>
      <c r="DS60" s="24"/>
      <c r="DT60" s="24"/>
      <c r="DU60" s="24"/>
      <c r="DV60" s="24"/>
      <c r="DW60" s="24"/>
      <c r="DX60" s="24"/>
      <c r="DY60" s="24"/>
      <c r="DZ60" s="24"/>
      <c r="EA60" s="24"/>
      <c r="EB60" s="24"/>
      <c r="EC60" s="24"/>
      <c r="ED60" s="24"/>
      <c r="EE60" s="24"/>
      <c r="EF60" s="24"/>
      <c r="EG60" s="24"/>
      <c r="EH60" s="24"/>
      <c r="EI60" s="24"/>
      <c r="EJ60" s="24"/>
      <c r="EK60" s="24"/>
      <c r="EL60" s="24"/>
      <c r="EM60" s="24"/>
      <c r="EN60" s="24"/>
      <c r="EO60" s="24"/>
      <c r="EP60" s="24"/>
      <c r="EQ60" s="24"/>
      <c r="ER60" s="24"/>
      <c r="ES60" s="24"/>
      <c r="ET60" s="24"/>
      <c r="EU60" s="24"/>
      <c r="EV60" s="24"/>
      <c r="EW60" s="24"/>
      <c r="EX60" s="24"/>
      <c r="EY60" s="24"/>
      <c r="EZ60" s="24"/>
      <c r="FA60" s="24"/>
      <c r="FB60" s="24"/>
      <c r="FC60" s="24"/>
      <c r="FD60" s="24"/>
      <c r="FE60" s="24"/>
      <c r="FF60" s="24"/>
      <c r="FG60" s="24"/>
      <c r="FH60" s="24"/>
      <c r="FI60" s="24"/>
      <c r="FJ60" s="24"/>
      <c r="FK60" s="24"/>
      <c r="FL60" s="24"/>
    </row>
    <row r="61" spans="1:168" ht="15.75" customHeight="1">
      <c r="A61" s="176"/>
      <c r="B61" s="177"/>
      <c r="C61" s="177"/>
      <c r="D61" s="177"/>
      <c r="E61" s="177"/>
      <c r="F61" s="177"/>
      <c r="G61" s="178"/>
      <c r="H61" s="179"/>
      <c r="J61" s="185"/>
      <c r="O61" s="182"/>
      <c r="P61" s="182"/>
      <c r="Q61" s="1"/>
      <c r="AC61" s="180"/>
      <c r="AD61" s="180"/>
      <c r="AE61" s="180"/>
      <c r="AJ61" s="191"/>
      <c r="BS61" s="181"/>
      <c r="CC61" s="24"/>
      <c r="CD61" s="24"/>
      <c r="CE61" s="24"/>
      <c r="CF61" s="24"/>
      <c r="CG61" s="24"/>
      <c r="CH61" s="24"/>
      <c r="CI61" s="24"/>
      <c r="CJ61" s="24"/>
      <c r="DE61" s="24"/>
      <c r="DF61" s="24"/>
      <c r="DG61" s="24"/>
      <c r="DH61" s="24"/>
      <c r="DI61" s="24"/>
      <c r="DJ61" s="24"/>
      <c r="DK61" s="24"/>
      <c r="DL61" s="24"/>
      <c r="DM61" s="24"/>
      <c r="DN61" s="24"/>
      <c r="DO61" s="24"/>
      <c r="DP61" s="24"/>
      <c r="DQ61" s="24"/>
      <c r="DR61" s="24"/>
      <c r="DS61" s="24"/>
      <c r="DT61" s="24"/>
      <c r="DU61" s="24"/>
      <c r="DV61" s="24"/>
      <c r="DW61" s="24"/>
      <c r="DX61" s="24"/>
      <c r="DY61" s="24"/>
      <c r="DZ61" s="24"/>
      <c r="EA61" s="24"/>
      <c r="EB61" s="24"/>
      <c r="EC61" s="24"/>
      <c r="ED61" s="24"/>
      <c r="EE61" s="24"/>
      <c r="EF61" s="24"/>
      <c r="EG61" s="24"/>
      <c r="EH61" s="24"/>
      <c r="EI61" s="24"/>
      <c r="EJ61" s="24"/>
      <c r="EK61" s="24"/>
      <c r="EL61" s="24"/>
      <c r="EM61" s="24"/>
      <c r="EN61" s="24"/>
      <c r="EO61" s="24"/>
      <c r="EP61" s="24"/>
      <c r="EQ61" s="24"/>
      <c r="ER61" s="24"/>
      <c r="ES61" s="24"/>
      <c r="ET61" s="24"/>
      <c r="EU61" s="24"/>
      <c r="EV61" s="24"/>
      <c r="EW61" s="24"/>
      <c r="EX61" s="24"/>
      <c r="EY61" s="24"/>
      <c r="EZ61" s="24"/>
      <c r="FA61" s="24"/>
      <c r="FB61" s="24"/>
      <c r="FC61" s="24"/>
      <c r="FD61" s="24"/>
      <c r="FE61" s="24"/>
      <c r="FF61" s="24"/>
      <c r="FG61" s="24"/>
      <c r="FH61" s="24"/>
      <c r="FI61" s="24"/>
      <c r="FJ61" s="24"/>
      <c r="FK61" s="24"/>
      <c r="FL61" s="24"/>
    </row>
    <row r="62" spans="1:168" ht="15.75" customHeight="1">
      <c r="A62" s="176"/>
      <c r="B62" s="177"/>
      <c r="C62" s="177"/>
      <c r="D62" s="177"/>
      <c r="E62" s="177"/>
      <c r="F62" s="177"/>
      <c r="G62" s="178"/>
      <c r="H62" s="179"/>
      <c r="J62" s="185"/>
      <c r="O62" s="182"/>
      <c r="P62" s="182"/>
      <c r="Q62" s="1"/>
      <c r="AC62" s="180"/>
      <c r="AD62" s="180"/>
      <c r="AE62" s="180"/>
      <c r="AJ62" s="191"/>
      <c r="BS62" s="181"/>
      <c r="CC62" s="24"/>
      <c r="CD62" s="24"/>
      <c r="CE62" s="24"/>
      <c r="CF62" s="24"/>
      <c r="CG62" s="24"/>
      <c r="CH62" s="24"/>
      <c r="CI62" s="24"/>
      <c r="CJ62" s="24"/>
      <c r="DE62" s="24"/>
      <c r="DF62" s="24"/>
      <c r="DG62" s="24"/>
      <c r="DH62" s="24"/>
      <c r="DI62" s="24"/>
      <c r="DJ62" s="24"/>
      <c r="DK62" s="24"/>
      <c r="DL62" s="24"/>
      <c r="DM62" s="24"/>
      <c r="DN62" s="24"/>
      <c r="DO62" s="24"/>
      <c r="DP62" s="24"/>
      <c r="DQ62" s="24"/>
      <c r="DR62" s="24"/>
      <c r="DS62" s="24"/>
      <c r="DT62" s="24"/>
      <c r="DU62" s="24"/>
      <c r="DV62" s="24"/>
      <c r="DW62" s="24"/>
      <c r="DX62" s="24"/>
      <c r="DY62" s="24"/>
      <c r="DZ62" s="24"/>
      <c r="EA62" s="24"/>
      <c r="EB62" s="24"/>
      <c r="EC62" s="24"/>
      <c r="ED62" s="24"/>
      <c r="EE62" s="24"/>
      <c r="EF62" s="24"/>
      <c r="EG62" s="24"/>
      <c r="EH62" s="24"/>
      <c r="EI62" s="24"/>
      <c r="EJ62" s="24"/>
      <c r="EK62" s="24"/>
      <c r="EL62" s="24"/>
      <c r="EM62" s="24"/>
      <c r="EN62" s="24"/>
      <c r="EO62" s="24"/>
      <c r="EP62" s="24"/>
      <c r="EQ62" s="24"/>
      <c r="ER62" s="24"/>
      <c r="ES62" s="24"/>
      <c r="ET62" s="24"/>
      <c r="EU62" s="24"/>
      <c r="EV62" s="24"/>
      <c r="EW62" s="24"/>
      <c r="EX62" s="24"/>
      <c r="EY62" s="24"/>
      <c r="EZ62" s="24"/>
      <c r="FA62" s="24"/>
      <c r="FB62" s="24"/>
      <c r="FC62" s="24"/>
      <c r="FD62" s="24"/>
      <c r="FE62" s="24"/>
      <c r="FF62" s="24"/>
      <c r="FG62" s="24"/>
      <c r="FH62" s="24"/>
      <c r="FI62" s="24"/>
      <c r="FJ62" s="24"/>
      <c r="FK62" s="24"/>
      <c r="FL62" s="24"/>
    </row>
    <row r="63" spans="1:168" ht="15.75" customHeight="1">
      <c r="A63" s="176"/>
      <c r="B63" s="177"/>
      <c r="C63" s="177"/>
      <c r="D63" s="177"/>
      <c r="E63" s="177"/>
      <c r="F63" s="177"/>
      <c r="G63" s="178"/>
      <c r="H63" s="179"/>
      <c r="J63" s="185"/>
      <c r="O63" s="182"/>
      <c r="P63" s="182"/>
      <c r="Q63" s="1"/>
      <c r="AC63" s="180"/>
      <c r="AD63" s="180"/>
      <c r="AE63" s="180"/>
      <c r="AJ63" s="191"/>
      <c r="BS63" s="181"/>
      <c r="CC63" s="24"/>
      <c r="CD63" s="24"/>
      <c r="CE63" s="24"/>
      <c r="CF63" s="24"/>
      <c r="CG63" s="24"/>
      <c r="CH63" s="24"/>
      <c r="CI63" s="24"/>
      <c r="CJ63" s="24"/>
      <c r="DE63" s="24"/>
      <c r="DF63" s="24"/>
      <c r="DG63" s="24"/>
      <c r="DH63" s="24"/>
      <c r="DI63" s="24"/>
      <c r="DJ63" s="24"/>
      <c r="DK63" s="24"/>
      <c r="DL63" s="24"/>
      <c r="DM63" s="24"/>
      <c r="DN63" s="24"/>
      <c r="DO63" s="24"/>
      <c r="DP63" s="24"/>
      <c r="DQ63" s="24"/>
      <c r="DR63" s="24"/>
      <c r="DS63" s="24"/>
      <c r="DT63" s="24"/>
      <c r="DU63" s="24"/>
      <c r="DV63" s="24"/>
      <c r="DW63" s="24"/>
      <c r="DX63" s="24"/>
      <c r="DY63" s="24"/>
      <c r="DZ63" s="24"/>
      <c r="EA63" s="24"/>
      <c r="EB63" s="24"/>
      <c r="EC63" s="24"/>
      <c r="ED63" s="24"/>
      <c r="EE63" s="24"/>
      <c r="EF63" s="24"/>
      <c r="EG63" s="24"/>
      <c r="EH63" s="24"/>
      <c r="EI63" s="24"/>
      <c r="EJ63" s="24"/>
      <c r="EK63" s="24"/>
      <c r="EL63" s="24"/>
      <c r="EM63" s="24"/>
      <c r="EN63" s="24"/>
      <c r="EO63" s="24"/>
      <c r="EP63" s="24"/>
      <c r="EQ63" s="24"/>
      <c r="ER63" s="24"/>
      <c r="ES63" s="24"/>
      <c r="ET63" s="24"/>
      <c r="EU63" s="24"/>
      <c r="EV63" s="24"/>
      <c r="EW63" s="24"/>
      <c r="EX63" s="24"/>
      <c r="EY63" s="24"/>
      <c r="EZ63" s="24"/>
      <c r="FA63" s="24"/>
      <c r="FB63" s="24"/>
      <c r="FC63" s="24"/>
      <c r="FD63" s="24"/>
      <c r="FE63" s="24"/>
      <c r="FF63" s="24"/>
      <c r="FG63" s="24"/>
      <c r="FH63" s="24"/>
      <c r="FI63" s="24"/>
      <c r="FJ63" s="24"/>
      <c r="FK63" s="24"/>
      <c r="FL63" s="24"/>
    </row>
    <row r="64" spans="1:168" ht="15.75" customHeight="1">
      <c r="A64" s="176"/>
      <c r="B64" s="177"/>
      <c r="C64" s="177"/>
      <c r="D64" s="177"/>
      <c r="E64" s="177"/>
      <c r="F64" s="177"/>
      <c r="G64" s="178"/>
      <c r="H64" s="179"/>
      <c r="J64" s="185"/>
      <c r="O64" s="182"/>
      <c r="P64" s="182"/>
      <c r="Q64" s="1"/>
      <c r="AC64" s="180"/>
      <c r="AD64" s="180"/>
      <c r="AE64" s="180"/>
      <c r="AJ64" s="191"/>
      <c r="BS64" s="181"/>
      <c r="CC64" s="24"/>
      <c r="CD64" s="24"/>
      <c r="CE64" s="24"/>
      <c r="CF64" s="24"/>
      <c r="CG64" s="24"/>
      <c r="CH64" s="24"/>
      <c r="CI64" s="24"/>
      <c r="CJ64" s="24"/>
      <c r="DE64" s="24"/>
      <c r="DF64" s="24"/>
      <c r="DG64" s="24"/>
      <c r="DH64" s="24"/>
      <c r="DI64" s="24"/>
      <c r="DJ64" s="24"/>
      <c r="DK64" s="24"/>
      <c r="DL64" s="24"/>
      <c r="DM64" s="24"/>
      <c r="DN64" s="24"/>
      <c r="DO64" s="24"/>
      <c r="DP64" s="24"/>
      <c r="DQ64" s="24"/>
      <c r="DR64" s="24"/>
      <c r="DS64" s="24"/>
      <c r="DT64" s="24"/>
      <c r="DU64" s="24"/>
      <c r="DV64" s="24"/>
      <c r="DW64" s="24"/>
      <c r="DX64" s="24"/>
      <c r="DY64" s="24"/>
      <c r="DZ64" s="24"/>
      <c r="EA64" s="24"/>
      <c r="EB64" s="24"/>
      <c r="EC64" s="24"/>
      <c r="ED64" s="24"/>
      <c r="EE64" s="24"/>
      <c r="EF64" s="24"/>
      <c r="EG64" s="24"/>
      <c r="EH64" s="24"/>
      <c r="EI64" s="24"/>
      <c r="EJ64" s="24"/>
      <c r="EK64" s="24"/>
      <c r="EL64" s="24"/>
      <c r="EM64" s="24"/>
      <c r="EN64" s="24"/>
      <c r="EO64" s="24"/>
      <c r="EP64" s="24"/>
      <c r="EQ64" s="24"/>
      <c r="ER64" s="24"/>
      <c r="ES64" s="24"/>
      <c r="ET64" s="24"/>
      <c r="EU64" s="24"/>
      <c r="EV64" s="24"/>
      <c r="EW64" s="24"/>
      <c r="EX64" s="24"/>
      <c r="EY64" s="24"/>
      <c r="EZ64" s="24"/>
      <c r="FA64" s="24"/>
      <c r="FB64" s="24"/>
      <c r="FC64" s="24"/>
      <c r="FD64" s="24"/>
      <c r="FE64" s="24"/>
      <c r="FF64" s="24"/>
      <c r="FG64" s="24"/>
      <c r="FH64" s="24"/>
      <c r="FI64" s="24"/>
      <c r="FJ64" s="24"/>
      <c r="FK64" s="24"/>
      <c r="FL64" s="24"/>
    </row>
    <row r="65" spans="1:168" ht="15.75" customHeight="1">
      <c r="A65" s="176"/>
      <c r="B65" s="177"/>
      <c r="C65" s="177"/>
      <c r="D65" s="177"/>
      <c r="E65" s="177"/>
      <c r="F65" s="177"/>
      <c r="G65" s="178"/>
      <c r="H65" s="179"/>
      <c r="J65" s="185"/>
      <c r="O65" s="182"/>
      <c r="P65" s="182"/>
      <c r="Q65" s="1"/>
      <c r="AC65" s="180"/>
      <c r="AD65" s="180"/>
      <c r="AE65" s="180"/>
      <c r="AJ65" s="191"/>
      <c r="BS65" s="181"/>
      <c r="CC65" s="24"/>
      <c r="CD65" s="24"/>
      <c r="CE65" s="24"/>
      <c r="CF65" s="24"/>
      <c r="CG65" s="24"/>
      <c r="CH65" s="24"/>
      <c r="CI65" s="24"/>
      <c r="CJ65" s="24"/>
      <c r="DE65" s="24"/>
      <c r="DF65" s="24"/>
      <c r="DG65" s="24"/>
      <c r="DH65" s="24"/>
      <c r="DI65" s="24"/>
      <c r="DJ65" s="24"/>
      <c r="DK65" s="24"/>
      <c r="DL65" s="24"/>
      <c r="DM65" s="24"/>
      <c r="DN65" s="24"/>
      <c r="DO65" s="24"/>
      <c r="DP65" s="24"/>
      <c r="DQ65" s="24"/>
      <c r="DR65" s="24"/>
      <c r="DS65" s="24"/>
      <c r="DT65" s="24"/>
      <c r="DU65" s="24"/>
      <c r="DV65" s="24"/>
      <c r="DW65" s="24"/>
      <c r="DX65" s="24"/>
      <c r="DY65" s="24"/>
      <c r="DZ65" s="24"/>
      <c r="EA65" s="24"/>
      <c r="EB65" s="24"/>
      <c r="EC65" s="24"/>
      <c r="ED65" s="24"/>
      <c r="EE65" s="24"/>
      <c r="EF65" s="24"/>
      <c r="EG65" s="24"/>
      <c r="EH65" s="24"/>
      <c r="EI65" s="24"/>
      <c r="EJ65" s="24"/>
      <c r="EK65" s="24"/>
      <c r="EL65" s="24"/>
      <c r="EM65" s="24"/>
      <c r="EN65" s="24"/>
      <c r="EO65" s="24"/>
      <c r="EP65" s="24"/>
      <c r="EQ65" s="24"/>
      <c r="ER65" s="24"/>
      <c r="ES65" s="24"/>
      <c r="ET65" s="24"/>
      <c r="EU65" s="24"/>
      <c r="EV65" s="24"/>
      <c r="EW65" s="24"/>
      <c r="EX65" s="24"/>
      <c r="EY65" s="24"/>
      <c r="EZ65" s="24"/>
      <c r="FA65" s="24"/>
      <c r="FB65" s="24"/>
      <c r="FC65" s="24"/>
      <c r="FD65" s="24"/>
      <c r="FE65" s="24"/>
      <c r="FF65" s="24"/>
      <c r="FG65" s="24"/>
      <c r="FH65" s="24"/>
      <c r="FI65" s="24"/>
      <c r="FJ65" s="24"/>
      <c r="FK65" s="24"/>
      <c r="FL65" s="24"/>
    </row>
    <row r="66" spans="1:168" ht="15.75" customHeight="1">
      <c r="A66" s="176"/>
      <c r="B66" s="177"/>
      <c r="C66" s="177"/>
      <c r="D66" s="177"/>
      <c r="E66" s="177"/>
      <c r="F66" s="177"/>
      <c r="G66" s="178"/>
      <c r="H66" s="179"/>
      <c r="J66" s="185"/>
      <c r="O66" s="182"/>
      <c r="P66" s="182"/>
      <c r="Q66" s="1"/>
      <c r="AC66" s="180"/>
      <c r="AD66" s="180"/>
      <c r="AE66" s="180"/>
      <c r="AJ66" s="191"/>
      <c r="BS66" s="181"/>
      <c r="CC66" s="24"/>
      <c r="CD66" s="24"/>
      <c r="CE66" s="24"/>
      <c r="CF66" s="24"/>
      <c r="CG66" s="24"/>
      <c r="CH66" s="24"/>
      <c r="CI66" s="24"/>
      <c r="CJ66" s="24"/>
      <c r="DE66" s="24"/>
      <c r="DF66" s="24"/>
      <c r="DG66" s="24"/>
      <c r="DH66" s="24"/>
      <c r="DI66" s="24"/>
      <c r="DJ66" s="24"/>
      <c r="DK66" s="24"/>
      <c r="DL66" s="24"/>
      <c r="DM66" s="24"/>
      <c r="DN66" s="24"/>
      <c r="DO66" s="24"/>
      <c r="DP66" s="24"/>
      <c r="DQ66" s="24"/>
      <c r="DR66" s="24"/>
      <c r="DS66" s="24"/>
      <c r="DT66" s="24"/>
      <c r="DU66" s="24"/>
      <c r="DV66" s="24"/>
      <c r="DW66" s="24"/>
      <c r="DX66" s="24"/>
      <c r="DY66" s="24"/>
      <c r="DZ66" s="24"/>
      <c r="EA66" s="24"/>
      <c r="EB66" s="24"/>
      <c r="EC66" s="24"/>
      <c r="ED66" s="24"/>
      <c r="EE66" s="24"/>
      <c r="EF66" s="24"/>
      <c r="EG66" s="24"/>
      <c r="EH66" s="24"/>
      <c r="EI66" s="24"/>
      <c r="EJ66" s="24"/>
      <c r="EK66" s="24"/>
      <c r="EL66" s="24"/>
      <c r="EM66" s="24"/>
      <c r="EN66" s="24"/>
      <c r="EO66" s="24"/>
      <c r="EP66" s="24"/>
      <c r="EQ66" s="24"/>
      <c r="ER66" s="24"/>
      <c r="ES66" s="24"/>
      <c r="ET66" s="24"/>
      <c r="EU66" s="24"/>
      <c r="EV66" s="24"/>
      <c r="EW66" s="24"/>
      <c r="EX66" s="24"/>
      <c r="EY66" s="24"/>
      <c r="EZ66" s="24"/>
      <c r="FA66" s="24"/>
      <c r="FB66" s="24"/>
      <c r="FC66" s="24"/>
      <c r="FD66" s="24"/>
      <c r="FE66" s="24"/>
      <c r="FF66" s="24"/>
      <c r="FG66" s="24"/>
      <c r="FH66" s="24"/>
      <c r="FI66" s="24"/>
      <c r="FJ66" s="24"/>
      <c r="FK66" s="24"/>
      <c r="FL66" s="24"/>
    </row>
    <row r="67" spans="1:168" ht="15.75" customHeight="1">
      <c r="A67" s="176"/>
      <c r="B67" s="177"/>
      <c r="C67" s="177"/>
      <c r="D67" s="177"/>
      <c r="E67" s="177"/>
      <c r="F67" s="177"/>
      <c r="G67" s="178"/>
      <c r="H67" s="179"/>
      <c r="J67" s="185"/>
      <c r="O67" s="182"/>
      <c r="P67" s="182"/>
      <c r="Q67" s="1"/>
      <c r="AC67" s="180"/>
      <c r="AD67" s="180"/>
      <c r="AE67" s="180"/>
      <c r="AJ67" s="191"/>
      <c r="BS67" s="181"/>
      <c r="CC67" s="24"/>
      <c r="CD67" s="24"/>
      <c r="CE67" s="24"/>
      <c r="CF67" s="24"/>
      <c r="CG67" s="24"/>
      <c r="CH67" s="24"/>
      <c r="CI67" s="24"/>
      <c r="CJ67" s="24"/>
      <c r="DE67" s="24"/>
      <c r="DF67" s="24"/>
      <c r="DG67" s="24"/>
      <c r="DH67" s="24"/>
      <c r="DI67" s="24"/>
      <c r="DJ67" s="24"/>
      <c r="DK67" s="24"/>
      <c r="DL67" s="24"/>
      <c r="DM67" s="24"/>
      <c r="DN67" s="24"/>
      <c r="DO67" s="24"/>
      <c r="DP67" s="24"/>
      <c r="DQ67" s="24"/>
      <c r="DR67" s="24"/>
      <c r="DS67" s="24"/>
      <c r="DT67" s="24"/>
      <c r="DU67" s="24"/>
      <c r="DV67" s="24"/>
      <c r="DW67" s="24"/>
      <c r="DX67" s="24"/>
      <c r="DY67" s="24"/>
      <c r="DZ67" s="24"/>
      <c r="EA67" s="24"/>
      <c r="EB67" s="24"/>
      <c r="EC67" s="24"/>
      <c r="ED67" s="24"/>
      <c r="EE67" s="24"/>
      <c r="EF67" s="24"/>
      <c r="EG67" s="24"/>
      <c r="EH67" s="24"/>
      <c r="EI67" s="24"/>
      <c r="EJ67" s="24"/>
      <c r="EK67" s="24"/>
      <c r="EL67" s="24"/>
      <c r="EM67" s="24"/>
      <c r="EN67" s="24"/>
      <c r="EO67" s="24"/>
      <c r="EP67" s="24"/>
      <c r="EQ67" s="24"/>
      <c r="ER67" s="24"/>
      <c r="ES67" s="24"/>
      <c r="ET67" s="24"/>
      <c r="EU67" s="24"/>
      <c r="EV67" s="24"/>
      <c r="EW67" s="24"/>
      <c r="EX67" s="24"/>
      <c r="EY67" s="24"/>
      <c r="EZ67" s="24"/>
      <c r="FA67" s="24"/>
      <c r="FB67" s="24"/>
      <c r="FC67" s="24"/>
      <c r="FD67" s="24"/>
      <c r="FE67" s="24"/>
      <c r="FF67" s="24"/>
      <c r="FG67" s="24"/>
      <c r="FH67" s="24"/>
      <c r="FI67" s="24"/>
      <c r="FJ67" s="24"/>
      <c r="FK67" s="24"/>
      <c r="FL67" s="24"/>
    </row>
    <row r="68" spans="1:168" ht="15.75" customHeight="1">
      <c r="A68" s="176"/>
      <c r="B68" s="177"/>
      <c r="C68" s="177"/>
      <c r="D68" s="177"/>
      <c r="E68" s="177"/>
      <c r="F68" s="177"/>
      <c r="G68" s="178"/>
      <c r="H68" s="179"/>
      <c r="J68" s="185"/>
      <c r="O68" s="182"/>
      <c r="P68" s="182"/>
      <c r="Q68" s="1"/>
      <c r="AC68" s="180"/>
      <c r="AD68" s="180"/>
      <c r="AE68" s="180"/>
      <c r="AJ68" s="191"/>
      <c r="BS68" s="181"/>
      <c r="CC68" s="24"/>
      <c r="CD68" s="24"/>
      <c r="CE68" s="24"/>
      <c r="CF68" s="24"/>
      <c r="CG68" s="24"/>
      <c r="CH68" s="24"/>
      <c r="CI68" s="24"/>
      <c r="CJ68" s="24"/>
      <c r="DE68" s="24"/>
      <c r="DF68" s="24"/>
      <c r="DG68" s="24"/>
      <c r="DH68" s="24"/>
      <c r="DI68" s="24"/>
      <c r="DJ68" s="24"/>
      <c r="DK68" s="24"/>
      <c r="DL68" s="24"/>
      <c r="DM68" s="24"/>
      <c r="DN68" s="24"/>
      <c r="DO68" s="24"/>
      <c r="DP68" s="24"/>
      <c r="DQ68" s="24"/>
      <c r="DR68" s="24"/>
      <c r="DS68" s="24"/>
      <c r="DT68" s="24"/>
      <c r="DU68" s="24"/>
      <c r="DV68" s="24"/>
      <c r="DW68" s="24"/>
      <c r="DX68" s="24"/>
      <c r="DY68" s="24"/>
      <c r="DZ68" s="24"/>
      <c r="EA68" s="24"/>
      <c r="EB68" s="24"/>
      <c r="EC68" s="24"/>
      <c r="ED68" s="24"/>
      <c r="EE68" s="24"/>
      <c r="EF68" s="24"/>
      <c r="EG68" s="24"/>
      <c r="EH68" s="24"/>
      <c r="EI68" s="24"/>
      <c r="EJ68" s="24"/>
      <c r="EK68" s="24"/>
      <c r="EL68" s="24"/>
      <c r="EM68" s="24"/>
      <c r="EN68" s="24"/>
      <c r="EO68" s="24"/>
      <c r="EP68" s="24"/>
      <c r="EQ68" s="24"/>
      <c r="ER68" s="24"/>
      <c r="ES68" s="24"/>
      <c r="ET68" s="24"/>
      <c r="EU68" s="24"/>
      <c r="EV68" s="24"/>
      <c r="EW68" s="24"/>
      <c r="EX68" s="24"/>
      <c r="EY68" s="24"/>
      <c r="EZ68" s="24"/>
      <c r="FA68" s="24"/>
      <c r="FB68" s="24"/>
      <c r="FC68" s="24"/>
      <c r="FD68" s="24"/>
      <c r="FE68" s="24"/>
      <c r="FF68" s="24"/>
      <c r="FG68" s="24"/>
      <c r="FH68" s="24"/>
      <c r="FI68" s="24"/>
      <c r="FJ68" s="24"/>
      <c r="FK68" s="24"/>
      <c r="FL68" s="24"/>
    </row>
    <row r="69" spans="1:168" ht="15.75" customHeight="1">
      <c r="A69" s="176"/>
      <c r="B69" s="177"/>
      <c r="C69" s="177"/>
      <c r="D69" s="177"/>
      <c r="E69" s="177"/>
      <c r="F69" s="177"/>
      <c r="G69" s="178"/>
      <c r="H69" s="179"/>
      <c r="J69" s="185"/>
      <c r="O69" s="182"/>
      <c r="P69" s="182"/>
      <c r="Q69" s="1"/>
      <c r="AC69" s="180"/>
      <c r="AD69" s="180"/>
      <c r="AE69" s="180"/>
      <c r="AJ69" s="191"/>
      <c r="BS69" s="181"/>
      <c r="CC69" s="24"/>
      <c r="CD69" s="24"/>
      <c r="CE69" s="24"/>
      <c r="CF69" s="24"/>
      <c r="CG69" s="24"/>
      <c r="CH69" s="24"/>
      <c r="CI69" s="24"/>
      <c r="CJ69" s="24"/>
      <c r="DE69" s="24"/>
      <c r="DF69" s="24"/>
      <c r="DG69" s="24"/>
      <c r="DH69" s="24"/>
      <c r="DI69" s="24"/>
      <c r="DJ69" s="24"/>
      <c r="DK69" s="24"/>
      <c r="DL69" s="24"/>
      <c r="DM69" s="24"/>
      <c r="DN69" s="24"/>
      <c r="DO69" s="24"/>
      <c r="DP69" s="24"/>
      <c r="DQ69" s="24"/>
      <c r="DR69" s="24"/>
      <c r="DS69" s="24"/>
      <c r="DT69" s="24"/>
      <c r="DU69" s="24"/>
      <c r="DV69" s="24"/>
      <c r="DW69" s="24"/>
      <c r="DX69" s="24"/>
      <c r="DY69" s="24"/>
      <c r="DZ69" s="24"/>
      <c r="EA69" s="24"/>
      <c r="EB69" s="24"/>
      <c r="EC69" s="24"/>
      <c r="ED69" s="24"/>
      <c r="EE69" s="24"/>
      <c r="EF69" s="24"/>
      <c r="EG69" s="24"/>
      <c r="EH69" s="24"/>
      <c r="EI69" s="24"/>
      <c r="EJ69" s="24"/>
      <c r="EK69" s="24"/>
      <c r="EL69" s="24"/>
      <c r="EM69" s="24"/>
      <c r="EN69" s="24"/>
      <c r="EO69" s="24"/>
      <c r="EP69" s="24"/>
      <c r="EQ69" s="24"/>
      <c r="ER69" s="24"/>
      <c r="ES69" s="24"/>
      <c r="ET69" s="24"/>
      <c r="EU69" s="24"/>
      <c r="EV69" s="24"/>
      <c r="EW69" s="24"/>
      <c r="EX69" s="24"/>
      <c r="EY69" s="24"/>
      <c r="EZ69" s="24"/>
      <c r="FA69" s="24"/>
      <c r="FB69" s="24"/>
      <c r="FC69" s="24"/>
      <c r="FD69" s="24"/>
      <c r="FE69" s="24"/>
      <c r="FF69" s="24"/>
      <c r="FG69" s="24"/>
      <c r="FH69" s="24"/>
      <c r="FI69" s="24"/>
      <c r="FJ69" s="24"/>
      <c r="FK69" s="24"/>
      <c r="FL69" s="24"/>
    </row>
    <row r="70" spans="1:168" ht="15.75" customHeight="1">
      <c r="A70" s="176"/>
      <c r="B70" s="177"/>
      <c r="C70" s="177"/>
      <c r="D70" s="177"/>
      <c r="E70" s="177"/>
      <c r="F70" s="177"/>
      <c r="G70" s="178"/>
      <c r="H70" s="179"/>
      <c r="J70" s="185"/>
      <c r="O70" s="182"/>
      <c r="P70" s="182"/>
      <c r="Q70" s="1"/>
      <c r="AC70" s="180"/>
      <c r="AD70" s="180"/>
      <c r="AE70" s="180"/>
      <c r="AJ70" s="191"/>
      <c r="BS70" s="181"/>
      <c r="CC70" s="24"/>
      <c r="CD70" s="24"/>
      <c r="CE70" s="24"/>
      <c r="CF70" s="24"/>
      <c r="CG70" s="24"/>
      <c r="CH70" s="24"/>
      <c r="CI70" s="24"/>
      <c r="CJ70" s="24"/>
      <c r="DE70" s="24"/>
      <c r="DF70" s="24"/>
      <c r="DG70" s="24"/>
      <c r="DH70" s="24"/>
      <c r="DI70" s="24"/>
      <c r="DJ70" s="24"/>
      <c r="DK70" s="24"/>
      <c r="DL70" s="24"/>
      <c r="DM70" s="24"/>
      <c r="DN70" s="24"/>
      <c r="DO70" s="24"/>
      <c r="DP70" s="24"/>
      <c r="DQ70" s="24"/>
      <c r="DR70" s="24"/>
      <c r="DS70" s="24"/>
      <c r="DT70" s="24"/>
      <c r="DU70" s="24"/>
      <c r="DV70" s="24"/>
      <c r="DW70" s="24"/>
      <c r="DX70" s="24"/>
      <c r="DY70" s="24"/>
      <c r="DZ70" s="24"/>
      <c r="EA70" s="24"/>
      <c r="EB70" s="24"/>
      <c r="EC70" s="24"/>
      <c r="ED70" s="24"/>
      <c r="EE70" s="24"/>
      <c r="EF70" s="24"/>
      <c r="EG70" s="24"/>
      <c r="EH70" s="24"/>
      <c r="EI70" s="24"/>
      <c r="EJ70" s="24"/>
      <c r="EK70" s="24"/>
      <c r="EL70" s="24"/>
      <c r="EM70" s="24"/>
      <c r="EN70" s="24"/>
      <c r="EO70" s="24"/>
      <c r="EP70" s="24"/>
      <c r="EQ70" s="24"/>
      <c r="ER70" s="24"/>
      <c r="ES70" s="24"/>
      <c r="ET70" s="24"/>
      <c r="EU70" s="24"/>
      <c r="EV70" s="24"/>
      <c r="EW70" s="24"/>
      <c r="EX70" s="24"/>
      <c r="EY70" s="24"/>
      <c r="EZ70" s="24"/>
      <c r="FA70" s="24"/>
      <c r="FB70" s="24"/>
      <c r="FC70" s="24"/>
      <c r="FD70" s="24"/>
      <c r="FE70" s="24"/>
      <c r="FF70" s="24"/>
      <c r="FG70" s="24"/>
      <c r="FH70" s="24"/>
      <c r="FI70" s="24"/>
      <c r="FJ70" s="24"/>
      <c r="FK70" s="24"/>
      <c r="FL70" s="24"/>
    </row>
    <row r="71" spans="1:168" ht="15.75" customHeight="1">
      <c r="A71" s="176"/>
      <c r="B71" s="177"/>
      <c r="C71" s="177"/>
      <c r="D71" s="177"/>
      <c r="E71" s="177"/>
      <c r="F71" s="177"/>
      <c r="G71" s="178"/>
      <c r="H71" s="179"/>
      <c r="J71" s="185"/>
      <c r="O71" s="182"/>
      <c r="P71" s="182"/>
      <c r="Q71" s="1"/>
      <c r="AC71" s="180"/>
      <c r="AD71" s="180"/>
      <c r="AE71" s="180"/>
      <c r="AJ71" s="191"/>
      <c r="BS71" s="181"/>
      <c r="CC71" s="24"/>
      <c r="CD71" s="24"/>
      <c r="CE71" s="24"/>
      <c r="CF71" s="24"/>
      <c r="CG71" s="24"/>
      <c r="CH71" s="24"/>
      <c r="CI71" s="24"/>
      <c r="CJ71" s="24"/>
      <c r="DE71" s="24"/>
      <c r="DF71" s="24"/>
      <c r="DG71" s="24"/>
      <c r="DH71" s="24"/>
      <c r="DI71" s="24"/>
      <c r="DJ71" s="24"/>
      <c r="DK71" s="24"/>
      <c r="DL71" s="24"/>
      <c r="DM71" s="24"/>
      <c r="DN71" s="24"/>
      <c r="DO71" s="24"/>
      <c r="DP71" s="24"/>
      <c r="DQ71" s="24"/>
      <c r="DR71" s="24"/>
      <c r="DS71" s="24"/>
      <c r="DT71" s="24"/>
      <c r="DU71" s="24"/>
      <c r="DV71" s="24"/>
      <c r="DW71" s="24"/>
      <c r="DX71" s="24"/>
      <c r="DY71" s="24"/>
      <c r="DZ71" s="24"/>
      <c r="EA71" s="24"/>
      <c r="EB71" s="24"/>
      <c r="EC71" s="24"/>
      <c r="ED71" s="24"/>
      <c r="EE71" s="24"/>
      <c r="EF71" s="24"/>
      <c r="EG71" s="24"/>
      <c r="EH71" s="24"/>
      <c r="EI71" s="24"/>
      <c r="EJ71" s="24"/>
      <c r="EK71" s="24"/>
      <c r="EL71" s="24"/>
      <c r="EM71" s="24"/>
      <c r="EN71" s="24"/>
      <c r="EO71" s="24"/>
      <c r="EP71" s="24"/>
      <c r="EQ71" s="24"/>
      <c r="ER71" s="24"/>
      <c r="ES71" s="24"/>
      <c r="ET71" s="24"/>
      <c r="EU71" s="24"/>
      <c r="EV71" s="24"/>
      <c r="EW71" s="24"/>
      <c r="EX71" s="24"/>
      <c r="EY71" s="24"/>
      <c r="EZ71" s="24"/>
      <c r="FA71" s="24"/>
      <c r="FB71" s="24"/>
      <c r="FC71" s="24"/>
      <c r="FD71" s="24"/>
      <c r="FE71" s="24"/>
      <c r="FF71" s="24"/>
      <c r="FG71" s="24"/>
      <c r="FH71" s="24"/>
      <c r="FI71" s="24"/>
      <c r="FJ71" s="24"/>
      <c r="FK71" s="24"/>
      <c r="FL71" s="24"/>
    </row>
    <row r="72" spans="1:168" ht="15.75" customHeight="1">
      <c r="A72" s="176"/>
      <c r="B72" s="177"/>
      <c r="C72" s="177"/>
      <c r="D72" s="177"/>
      <c r="E72" s="177"/>
      <c r="F72" s="177"/>
      <c r="G72" s="178"/>
      <c r="H72" s="179"/>
      <c r="J72" s="185"/>
      <c r="O72" s="182"/>
      <c r="P72" s="182"/>
      <c r="Q72" s="1"/>
      <c r="AC72" s="180"/>
      <c r="AD72" s="180"/>
      <c r="AE72" s="180"/>
      <c r="AJ72" s="191"/>
      <c r="BS72" s="181"/>
      <c r="CC72" s="24"/>
      <c r="CD72" s="24"/>
      <c r="CE72" s="24"/>
      <c r="CF72" s="24"/>
      <c r="CG72" s="24"/>
      <c r="CH72" s="24"/>
      <c r="CI72" s="24"/>
      <c r="CJ72" s="24"/>
      <c r="DE72" s="24"/>
      <c r="DF72" s="24"/>
      <c r="DG72" s="24"/>
      <c r="DH72" s="24"/>
      <c r="DI72" s="24"/>
      <c r="DJ72" s="24"/>
      <c r="DK72" s="24"/>
      <c r="DL72" s="24"/>
      <c r="DM72" s="24"/>
      <c r="DN72" s="24"/>
      <c r="DO72" s="24"/>
      <c r="DP72" s="24"/>
      <c r="DQ72" s="24"/>
      <c r="DR72" s="24"/>
      <c r="DS72" s="24"/>
      <c r="DT72" s="24"/>
      <c r="DU72" s="24"/>
      <c r="DV72" s="24"/>
      <c r="DW72" s="24"/>
      <c r="DX72" s="24"/>
      <c r="DY72" s="24"/>
      <c r="DZ72" s="24"/>
      <c r="EA72" s="24"/>
      <c r="EB72" s="24"/>
      <c r="EC72" s="24"/>
      <c r="ED72" s="24"/>
      <c r="EE72" s="24"/>
      <c r="EF72" s="24"/>
      <c r="EG72" s="24"/>
      <c r="EH72" s="24"/>
      <c r="EI72" s="24"/>
      <c r="EJ72" s="24"/>
      <c r="EK72" s="24"/>
      <c r="EL72" s="24"/>
      <c r="EM72" s="24"/>
      <c r="EN72" s="24"/>
      <c r="EO72" s="24"/>
      <c r="EP72" s="24"/>
      <c r="EQ72" s="24"/>
      <c r="ER72" s="24"/>
      <c r="ES72" s="24"/>
      <c r="ET72" s="24"/>
      <c r="EU72" s="24"/>
      <c r="EV72" s="24"/>
      <c r="EW72" s="24"/>
      <c r="EX72" s="24"/>
      <c r="EY72" s="24"/>
      <c r="EZ72" s="24"/>
      <c r="FA72" s="24"/>
      <c r="FB72" s="24"/>
      <c r="FC72" s="24"/>
      <c r="FD72" s="24"/>
      <c r="FE72" s="24"/>
      <c r="FF72" s="24"/>
      <c r="FG72" s="24"/>
      <c r="FH72" s="24"/>
      <c r="FI72" s="24"/>
      <c r="FJ72" s="24"/>
      <c r="FK72" s="24"/>
      <c r="FL72" s="24"/>
    </row>
    <row r="73" spans="1:168" ht="15.75" customHeight="1">
      <c r="A73" s="176"/>
      <c r="B73" s="177"/>
      <c r="C73" s="177"/>
      <c r="D73" s="177"/>
      <c r="E73" s="177"/>
      <c r="F73" s="177"/>
      <c r="G73" s="178"/>
      <c r="H73" s="179"/>
      <c r="J73" s="185"/>
      <c r="O73" s="182"/>
      <c r="P73" s="182"/>
      <c r="Q73" s="1"/>
      <c r="AC73" s="180"/>
      <c r="AD73" s="180"/>
      <c r="AE73" s="180"/>
      <c r="AJ73" s="191"/>
      <c r="BS73" s="181"/>
      <c r="CC73" s="24"/>
      <c r="CD73" s="24"/>
      <c r="CE73" s="24"/>
      <c r="CF73" s="24"/>
      <c r="CG73" s="24"/>
      <c r="CH73" s="24"/>
      <c r="CI73" s="24"/>
      <c r="CJ73" s="24"/>
      <c r="DE73" s="24"/>
      <c r="DF73" s="24"/>
      <c r="DG73" s="24"/>
      <c r="DH73" s="24"/>
      <c r="DI73" s="24"/>
      <c r="DJ73" s="24"/>
      <c r="DK73" s="24"/>
      <c r="DL73" s="24"/>
      <c r="DM73" s="24"/>
      <c r="DN73" s="24"/>
      <c r="DO73" s="24"/>
      <c r="DP73" s="24"/>
      <c r="DQ73" s="24"/>
      <c r="DR73" s="24"/>
      <c r="DS73" s="24"/>
      <c r="DT73" s="24"/>
      <c r="DU73" s="24"/>
      <c r="DV73" s="24"/>
      <c r="DW73" s="24"/>
      <c r="DX73" s="24"/>
      <c r="DY73" s="24"/>
      <c r="DZ73" s="24"/>
      <c r="EA73" s="24"/>
      <c r="EB73" s="24"/>
      <c r="EC73" s="24"/>
      <c r="ED73" s="24"/>
      <c r="EE73" s="24"/>
      <c r="EF73" s="24"/>
      <c r="EG73" s="24"/>
      <c r="EH73" s="24"/>
      <c r="EI73" s="24"/>
      <c r="EJ73" s="24"/>
      <c r="EK73" s="24"/>
      <c r="EL73" s="24"/>
      <c r="EM73" s="24"/>
      <c r="EN73" s="24"/>
      <c r="EO73" s="24"/>
      <c r="EP73" s="24"/>
      <c r="EQ73" s="24"/>
      <c r="ER73" s="24"/>
      <c r="ES73" s="24"/>
      <c r="ET73" s="24"/>
      <c r="EU73" s="24"/>
      <c r="EV73" s="24"/>
      <c r="EW73" s="24"/>
      <c r="EX73" s="24"/>
      <c r="EY73" s="24"/>
      <c r="EZ73" s="24"/>
      <c r="FA73" s="24"/>
      <c r="FB73" s="24"/>
      <c r="FC73" s="24"/>
      <c r="FD73" s="24"/>
      <c r="FE73" s="24"/>
      <c r="FF73" s="24"/>
      <c r="FG73" s="24"/>
      <c r="FH73" s="24"/>
      <c r="FI73" s="24"/>
      <c r="FJ73" s="24"/>
      <c r="FK73" s="24"/>
      <c r="FL73" s="24"/>
    </row>
    <row r="74" spans="1:168" ht="15.75" customHeight="1">
      <c r="A74" s="176"/>
      <c r="B74" s="177"/>
      <c r="C74" s="177"/>
      <c r="D74" s="177"/>
      <c r="E74" s="177"/>
      <c r="F74" s="177"/>
      <c r="G74" s="178"/>
      <c r="H74" s="179"/>
      <c r="J74" s="185"/>
      <c r="O74" s="182"/>
      <c r="P74" s="182"/>
      <c r="Q74" s="1"/>
      <c r="AC74" s="180"/>
      <c r="AD74" s="180"/>
      <c r="AE74" s="180"/>
      <c r="AJ74" s="191"/>
      <c r="BS74" s="181"/>
      <c r="CC74" s="24"/>
      <c r="CD74" s="24"/>
      <c r="CE74" s="24"/>
      <c r="CF74" s="24"/>
      <c r="CG74" s="24"/>
      <c r="CH74" s="24"/>
      <c r="CI74" s="24"/>
      <c r="CJ74" s="24"/>
      <c r="DE74" s="24"/>
      <c r="DF74" s="24"/>
      <c r="DG74" s="24"/>
      <c r="DH74" s="24"/>
      <c r="DI74" s="24"/>
      <c r="DJ74" s="24"/>
      <c r="DK74" s="24"/>
      <c r="DL74" s="24"/>
      <c r="DM74" s="24"/>
      <c r="DN74" s="24"/>
      <c r="DO74" s="24"/>
      <c r="DP74" s="24"/>
      <c r="DQ74" s="24"/>
      <c r="DR74" s="24"/>
      <c r="DS74" s="24"/>
      <c r="DT74" s="24"/>
      <c r="DU74" s="24"/>
      <c r="DV74" s="24"/>
      <c r="DW74" s="24"/>
      <c r="DX74" s="24"/>
      <c r="DY74" s="24"/>
      <c r="DZ74" s="24"/>
      <c r="EA74" s="24"/>
      <c r="EB74" s="24"/>
      <c r="EC74" s="24"/>
      <c r="ED74" s="24"/>
      <c r="EE74" s="24"/>
      <c r="EF74" s="24"/>
      <c r="EG74" s="24"/>
      <c r="EH74" s="24"/>
      <c r="EI74" s="24"/>
      <c r="EJ74" s="24"/>
      <c r="EK74" s="24"/>
      <c r="EL74" s="24"/>
      <c r="EM74" s="24"/>
      <c r="EN74" s="24"/>
      <c r="EO74" s="24"/>
      <c r="EP74" s="24"/>
      <c r="EQ74" s="24"/>
      <c r="ER74" s="24"/>
      <c r="ES74" s="24"/>
      <c r="ET74" s="24"/>
      <c r="EU74" s="24"/>
      <c r="EV74" s="24"/>
      <c r="EW74" s="24"/>
      <c r="EX74" s="24"/>
      <c r="EY74" s="24"/>
      <c r="EZ74" s="24"/>
      <c r="FA74" s="24"/>
      <c r="FB74" s="24"/>
      <c r="FC74" s="24"/>
      <c r="FD74" s="24"/>
      <c r="FE74" s="24"/>
      <c r="FF74" s="24"/>
      <c r="FG74" s="24"/>
      <c r="FH74" s="24"/>
      <c r="FI74" s="24"/>
      <c r="FJ74" s="24"/>
      <c r="FK74" s="24"/>
      <c r="FL74" s="24"/>
    </row>
    <row r="75" spans="1:168" ht="15.75" customHeight="1">
      <c r="A75" s="176"/>
      <c r="B75" s="177"/>
      <c r="C75" s="177"/>
      <c r="D75" s="177"/>
      <c r="E75" s="177"/>
      <c r="F75" s="177"/>
      <c r="G75" s="178"/>
      <c r="H75" s="179"/>
      <c r="J75" s="185"/>
      <c r="O75" s="182"/>
      <c r="P75" s="182"/>
      <c r="Q75" s="1"/>
      <c r="AC75" s="180"/>
      <c r="AD75" s="180"/>
      <c r="AE75" s="180"/>
      <c r="AJ75" s="191"/>
      <c r="BS75" s="181"/>
      <c r="CC75" s="24"/>
      <c r="CD75" s="24"/>
      <c r="CE75" s="24"/>
      <c r="CF75" s="24"/>
      <c r="CG75" s="24"/>
      <c r="CH75" s="24"/>
      <c r="CI75" s="24"/>
      <c r="CJ75" s="24"/>
      <c r="DE75" s="24"/>
      <c r="DF75" s="24"/>
      <c r="DG75" s="24"/>
      <c r="DH75" s="24"/>
      <c r="DI75" s="24"/>
      <c r="DJ75" s="24"/>
      <c r="DK75" s="24"/>
      <c r="DL75" s="24"/>
      <c r="DM75" s="24"/>
      <c r="DN75" s="24"/>
      <c r="DO75" s="24"/>
      <c r="DP75" s="24"/>
      <c r="DQ75" s="24"/>
      <c r="DR75" s="24"/>
      <c r="DS75" s="24"/>
      <c r="DT75" s="24"/>
      <c r="DU75" s="24"/>
      <c r="DV75" s="24"/>
      <c r="DW75" s="24"/>
      <c r="DX75" s="24"/>
      <c r="DY75" s="24"/>
      <c r="DZ75" s="24"/>
      <c r="EA75" s="24"/>
      <c r="EB75" s="24"/>
      <c r="EC75" s="24"/>
      <c r="ED75" s="24"/>
      <c r="EE75" s="24"/>
      <c r="EF75" s="24"/>
      <c r="EG75" s="24"/>
      <c r="EH75" s="24"/>
      <c r="EI75" s="24"/>
      <c r="EJ75" s="24"/>
      <c r="EK75" s="24"/>
      <c r="EL75" s="24"/>
      <c r="EM75" s="24"/>
      <c r="EN75" s="24"/>
      <c r="EO75" s="24"/>
      <c r="EP75" s="24"/>
      <c r="EQ75" s="24"/>
      <c r="ER75" s="24"/>
      <c r="ES75" s="24"/>
      <c r="ET75" s="24"/>
      <c r="EU75" s="24"/>
      <c r="EV75" s="24"/>
      <c r="EW75" s="24"/>
      <c r="EX75" s="24"/>
      <c r="EY75" s="24"/>
      <c r="EZ75" s="24"/>
      <c r="FA75" s="24"/>
      <c r="FB75" s="24"/>
      <c r="FC75" s="24"/>
      <c r="FD75" s="24"/>
      <c r="FE75" s="24"/>
      <c r="FF75" s="24"/>
      <c r="FG75" s="24"/>
      <c r="FH75" s="24"/>
      <c r="FI75" s="24"/>
      <c r="FJ75" s="24"/>
      <c r="FK75" s="24"/>
      <c r="FL75" s="24"/>
    </row>
    <row r="76" spans="1:168" ht="15.75" customHeight="1">
      <c r="A76" s="176"/>
      <c r="B76" s="177"/>
      <c r="C76" s="177"/>
      <c r="D76" s="177"/>
      <c r="E76" s="177"/>
      <c r="F76" s="177"/>
      <c r="G76" s="178"/>
      <c r="H76" s="179"/>
      <c r="J76" s="185"/>
      <c r="O76" s="182"/>
      <c r="P76" s="182"/>
      <c r="Q76" s="1"/>
      <c r="AC76" s="180"/>
      <c r="AD76" s="180"/>
      <c r="AE76" s="180"/>
      <c r="AJ76" s="191"/>
      <c r="BS76" s="181"/>
      <c r="CC76" s="24"/>
      <c r="CD76" s="24"/>
      <c r="CE76" s="24"/>
      <c r="CF76" s="24"/>
      <c r="CG76" s="24"/>
      <c r="CH76" s="24"/>
      <c r="CI76" s="24"/>
      <c r="CJ76" s="24"/>
      <c r="DE76" s="24"/>
      <c r="DF76" s="24"/>
      <c r="DG76" s="24"/>
      <c r="DH76" s="24"/>
      <c r="DI76" s="24"/>
      <c r="DJ76" s="24"/>
      <c r="DK76" s="24"/>
      <c r="DL76" s="24"/>
      <c r="DM76" s="24"/>
      <c r="DN76" s="24"/>
      <c r="DO76" s="24"/>
      <c r="DP76" s="24"/>
      <c r="DQ76" s="24"/>
      <c r="DR76" s="24"/>
      <c r="DS76" s="24"/>
      <c r="DT76" s="24"/>
      <c r="DU76" s="24"/>
      <c r="DV76" s="24"/>
      <c r="DW76" s="24"/>
      <c r="DX76" s="24"/>
      <c r="DY76" s="24"/>
      <c r="DZ76" s="24"/>
      <c r="EA76" s="24"/>
      <c r="EB76" s="24"/>
      <c r="EC76" s="24"/>
      <c r="ED76" s="24"/>
      <c r="EE76" s="24"/>
      <c r="EF76" s="24"/>
      <c r="EG76" s="24"/>
      <c r="EH76" s="24"/>
      <c r="EI76" s="24"/>
      <c r="EJ76" s="24"/>
      <c r="EK76" s="24"/>
      <c r="EL76" s="24"/>
      <c r="EM76" s="24"/>
      <c r="EN76" s="24"/>
      <c r="EO76" s="24"/>
      <c r="EP76" s="24"/>
      <c r="EQ76" s="24"/>
      <c r="ER76" s="24"/>
      <c r="ES76" s="24"/>
      <c r="ET76" s="24"/>
      <c r="EU76" s="24"/>
      <c r="EV76" s="24"/>
      <c r="EW76" s="24"/>
      <c r="EX76" s="24"/>
      <c r="EY76" s="24"/>
      <c r="EZ76" s="24"/>
      <c r="FA76" s="24"/>
      <c r="FB76" s="24"/>
      <c r="FC76" s="24"/>
      <c r="FD76" s="24"/>
      <c r="FE76" s="24"/>
      <c r="FF76" s="24"/>
      <c r="FG76" s="24"/>
      <c r="FH76" s="24"/>
      <c r="FI76" s="24"/>
      <c r="FJ76" s="24"/>
      <c r="FK76" s="24"/>
      <c r="FL76" s="24"/>
    </row>
    <row r="77" spans="1:168" ht="15.75" customHeight="1">
      <c r="A77" s="176"/>
      <c r="B77" s="177"/>
      <c r="C77" s="177"/>
      <c r="D77" s="177"/>
      <c r="E77" s="177"/>
      <c r="F77" s="177"/>
      <c r="G77" s="178"/>
      <c r="H77" s="179"/>
      <c r="J77" s="185"/>
      <c r="O77" s="182"/>
      <c r="P77" s="182"/>
      <c r="Q77" s="1"/>
      <c r="AC77" s="180"/>
      <c r="AD77" s="180"/>
      <c r="AE77" s="180"/>
      <c r="AJ77" s="191"/>
      <c r="BS77" s="181"/>
      <c r="CC77" s="24"/>
      <c r="CD77" s="24"/>
      <c r="CE77" s="24"/>
      <c r="CF77" s="24"/>
      <c r="CG77" s="24"/>
      <c r="CH77" s="24"/>
      <c r="CI77" s="24"/>
      <c r="CJ77" s="24"/>
      <c r="DE77" s="24"/>
      <c r="DF77" s="24"/>
      <c r="DG77" s="24"/>
      <c r="DH77" s="24"/>
      <c r="DI77" s="24"/>
      <c r="DJ77" s="24"/>
      <c r="DK77" s="24"/>
      <c r="DL77" s="24"/>
      <c r="DM77" s="24"/>
      <c r="DN77" s="24"/>
      <c r="DO77" s="24"/>
      <c r="DP77" s="24"/>
      <c r="DQ77" s="24"/>
      <c r="DR77" s="24"/>
      <c r="DS77" s="24"/>
      <c r="DT77" s="24"/>
      <c r="DU77" s="24"/>
      <c r="DV77" s="24"/>
      <c r="DW77" s="24"/>
      <c r="DX77" s="24"/>
      <c r="DY77" s="24"/>
      <c r="DZ77" s="24"/>
      <c r="EA77" s="24"/>
      <c r="EB77" s="24"/>
      <c r="EC77" s="24"/>
      <c r="ED77" s="24"/>
      <c r="EE77" s="24"/>
      <c r="EF77" s="24"/>
      <c r="EG77" s="24"/>
      <c r="EH77" s="24"/>
      <c r="EI77" s="24"/>
      <c r="EJ77" s="24"/>
      <c r="EK77" s="24"/>
      <c r="EL77" s="24"/>
      <c r="EM77" s="24"/>
      <c r="EN77" s="24"/>
      <c r="EO77" s="24"/>
      <c r="EP77" s="24"/>
      <c r="EQ77" s="24"/>
      <c r="ER77" s="24"/>
      <c r="ES77" s="24"/>
      <c r="ET77" s="24"/>
      <c r="EU77" s="24"/>
      <c r="EV77" s="24"/>
      <c r="EW77" s="24"/>
      <c r="EX77" s="24"/>
      <c r="EY77" s="24"/>
      <c r="EZ77" s="24"/>
      <c r="FA77" s="24"/>
      <c r="FB77" s="24"/>
      <c r="FC77" s="24"/>
      <c r="FD77" s="24"/>
      <c r="FE77" s="24"/>
      <c r="FF77" s="24"/>
      <c r="FG77" s="24"/>
      <c r="FH77" s="24"/>
      <c r="FI77" s="24"/>
      <c r="FJ77" s="24"/>
      <c r="FK77" s="24"/>
      <c r="FL77" s="24"/>
    </row>
    <row r="78" spans="1:168" ht="15.75" customHeight="1">
      <c r="A78" s="176"/>
      <c r="B78" s="177"/>
      <c r="C78" s="177"/>
      <c r="D78" s="177"/>
      <c r="E78" s="177"/>
      <c r="F78" s="177"/>
      <c r="G78" s="178"/>
      <c r="H78" s="179"/>
      <c r="J78" s="185"/>
      <c r="O78" s="182"/>
      <c r="P78" s="182"/>
      <c r="Q78" s="1"/>
      <c r="AC78" s="180"/>
      <c r="AD78" s="180"/>
      <c r="AE78" s="180"/>
      <c r="AJ78" s="191"/>
      <c r="BS78" s="181"/>
      <c r="CC78" s="24"/>
      <c r="CD78" s="24"/>
      <c r="CE78" s="24"/>
      <c r="CF78" s="24"/>
      <c r="CG78" s="24"/>
      <c r="CH78" s="24"/>
      <c r="CI78" s="24"/>
      <c r="CJ78" s="24"/>
      <c r="DE78" s="24"/>
      <c r="DF78" s="24"/>
      <c r="DG78" s="24"/>
      <c r="DH78" s="24"/>
      <c r="DI78" s="24"/>
      <c r="DJ78" s="24"/>
      <c r="DK78" s="24"/>
      <c r="DL78" s="24"/>
      <c r="DM78" s="24"/>
      <c r="DN78" s="24"/>
      <c r="DO78" s="24"/>
      <c r="DP78" s="24"/>
      <c r="DQ78" s="24"/>
      <c r="DR78" s="24"/>
      <c r="DS78" s="24"/>
      <c r="DT78" s="24"/>
      <c r="DU78" s="24"/>
      <c r="DV78" s="24"/>
      <c r="DW78" s="24"/>
      <c r="DX78" s="24"/>
      <c r="DY78" s="24"/>
      <c r="DZ78" s="24"/>
      <c r="EA78" s="24"/>
      <c r="EB78" s="24"/>
      <c r="EC78" s="24"/>
      <c r="ED78" s="24"/>
      <c r="EE78" s="24"/>
      <c r="EF78" s="24"/>
      <c r="EG78" s="24"/>
      <c r="EH78" s="24"/>
      <c r="EI78" s="24"/>
      <c r="EJ78" s="24"/>
      <c r="EK78" s="24"/>
      <c r="EL78" s="24"/>
      <c r="EM78" s="24"/>
      <c r="EN78" s="24"/>
      <c r="EO78" s="24"/>
      <c r="EP78" s="24"/>
      <c r="EQ78" s="24"/>
      <c r="ER78" s="24"/>
      <c r="ES78" s="24"/>
      <c r="ET78" s="24"/>
      <c r="EU78" s="24"/>
      <c r="EV78" s="24"/>
      <c r="EW78" s="24"/>
      <c r="EX78" s="24"/>
      <c r="EY78" s="24"/>
      <c r="EZ78" s="24"/>
      <c r="FA78" s="24"/>
      <c r="FB78" s="24"/>
      <c r="FC78" s="24"/>
      <c r="FD78" s="24"/>
      <c r="FE78" s="24"/>
      <c r="FF78" s="24"/>
      <c r="FG78" s="24"/>
      <c r="FH78" s="24"/>
      <c r="FI78" s="24"/>
      <c r="FJ78" s="24"/>
      <c r="FK78" s="24"/>
      <c r="FL78" s="24"/>
    </row>
    <row r="79" spans="1:168" ht="15.75" customHeight="1">
      <c r="A79" s="176"/>
      <c r="B79" s="177"/>
      <c r="C79" s="177"/>
      <c r="D79" s="177"/>
      <c r="E79" s="177"/>
      <c r="F79" s="177"/>
      <c r="G79" s="178"/>
      <c r="H79" s="179"/>
      <c r="J79" s="185"/>
      <c r="O79" s="182"/>
      <c r="P79" s="182"/>
      <c r="Q79" s="1"/>
      <c r="AC79" s="180"/>
      <c r="AD79" s="180"/>
      <c r="AE79" s="180"/>
      <c r="AJ79" s="191"/>
      <c r="BS79" s="181"/>
      <c r="CC79" s="24"/>
      <c r="CD79" s="24"/>
      <c r="CE79" s="24"/>
      <c r="CF79" s="24"/>
      <c r="CG79" s="24"/>
      <c r="CH79" s="24"/>
      <c r="CI79" s="24"/>
      <c r="CJ79" s="24"/>
      <c r="DE79" s="24"/>
      <c r="DF79" s="24"/>
      <c r="DG79" s="24"/>
      <c r="DH79" s="24"/>
      <c r="DI79" s="24"/>
      <c r="DJ79" s="24"/>
      <c r="DK79" s="24"/>
      <c r="DL79" s="24"/>
      <c r="DM79" s="24"/>
      <c r="DN79" s="24"/>
      <c r="DO79" s="24"/>
      <c r="DP79" s="24"/>
      <c r="DQ79" s="24"/>
      <c r="DR79" s="24"/>
      <c r="DS79" s="24"/>
      <c r="DT79" s="24"/>
      <c r="DU79" s="24"/>
      <c r="DV79" s="24"/>
      <c r="DW79" s="24"/>
      <c r="DX79" s="24"/>
      <c r="DY79" s="24"/>
      <c r="DZ79" s="24"/>
      <c r="EA79" s="24"/>
      <c r="EB79" s="24"/>
      <c r="EC79" s="24"/>
      <c r="ED79" s="24"/>
      <c r="EE79" s="24"/>
      <c r="EF79" s="24"/>
      <c r="EG79" s="24"/>
      <c r="EH79" s="24"/>
      <c r="EI79" s="24"/>
      <c r="EJ79" s="24"/>
      <c r="EK79" s="24"/>
      <c r="EL79" s="24"/>
      <c r="EM79" s="24"/>
      <c r="EN79" s="24"/>
      <c r="EO79" s="24"/>
      <c r="EP79" s="24"/>
      <c r="EQ79" s="24"/>
      <c r="ER79" s="24"/>
      <c r="ES79" s="24"/>
      <c r="ET79" s="24"/>
      <c r="EU79" s="24"/>
      <c r="EV79" s="24"/>
      <c r="EW79" s="24"/>
      <c r="EX79" s="24"/>
      <c r="EY79" s="24"/>
      <c r="EZ79" s="24"/>
      <c r="FA79" s="24"/>
      <c r="FB79" s="24"/>
      <c r="FC79" s="24"/>
      <c r="FD79" s="24"/>
      <c r="FE79" s="24"/>
      <c r="FF79" s="24"/>
      <c r="FG79" s="24"/>
      <c r="FH79" s="24"/>
      <c r="FI79" s="24"/>
      <c r="FJ79" s="24"/>
      <c r="FK79" s="24"/>
      <c r="FL79" s="24"/>
    </row>
    <row r="80" spans="1:168" ht="15.75" customHeight="1">
      <c r="A80" s="176"/>
      <c r="B80" s="177"/>
      <c r="C80" s="177"/>
      <c r="D80" s="177"/>
      <c r="E80" s="177"/>
      <c r="F80" s="177"/>
      <c r="G80" s="178"/>
      <c r="H80" s="179"/>
      <c r="J80" s="185"/>
      <c r="O80" s="182"/>
      <c r="P80" s="182"/>
      <c r="Q80" s="1"/>
      <c r="AC80" s="180"/>
      <c r="AD80" s="180"/>
      <c r="AE80" s="180"/>
      <c r="AJ80" s="191"/>
      <c r="BS80" s="181"/>
      <c r="CC80" s="24"/>
      <c r="CD80" s="24"/>
      <c r="CE80" s="24"/>
      <c r="CF80" s="24"/>
      <c r="CG80" s="24"/>
      <c r="CH80" s="24"/>
      <c r="CI80" s="24"/>
      <c r="CJ80" s="24"/>
      <c r="DE80" s="24"/>
      <c r="DF80" s="24"/>
      <c r="DG80" s="24"/>
      <c r="DH80" s="24"/>
      <c r="DI80" s="24"/>
      <c r="DJ80" s="24"/>
      <c r="DK80" s="24"/>
      <c r="DL80" s="24"/>
      <c r="DM80" s="24"/>
      <c r="DN80" s="24"/>
      <c r="DO80" s="24"/>
      <c r="DP80" s="24"/>
      <c r="DQ80" s="24"/>
      <c r="DR80" s="24"/>
      <c r="DS80" s="24"/>
      <c r="DT80" s="24"/>
      <c r="DU80" s="24"/>
      <c r="DV80" s="24"/>
      <c r="DW80" s="24"/>
      <c r="DX80" s="24"/>
      <c r="DY80" s="24"/>
      <c r="DZ80" s="24"/>
      <c r="EA80" s="24"/>
      <c r="EB80" s="24"/>
      <c r="EC80" s="24"/>
      <c r="ED80" s="24"/>
      <c r="EE80" s="24"/>
      <c r="EF80" s="24"/>
      <c r="EG80" s="24"/>
      <c r="EH80" s="24"/>
      <c r="EI80" s="24"/>
      <c r="EJ80" s="24"/>
      <c r="EK80" s="24"/>
      <c r="EL80" s="24"/>
      <c r="EM80" s="24"/>
      <c r="EN80" s="24"/>
      <c r="EO80" s="24"/>
      <c r="EP80" s="24"/>
      <c r="EQ80" s="24"/>
      <c r="ER80" s="24"/>
      <c r="ES80" s="24"/>
      <c r="ET80" s="24"/>
      <c r="EU80" s="24"/>
      <c r="EV80" s="24"/>
      <c r="EW80" s="24"/>
      <c r="EX80" s="24"/>
      <c r="EY80" s="24"/>
      <c r="EZ80" s="24"/>
      <c r="FA80" s="24"/>
      <c r="FB80" s="24"/>
      <c r="FC80" s="24"/>
      <c r="FD80" s="24"/>
      <c r="FE80" s="24"/>
      <c r="FF80" s="24"/>
      <c r="FG80" s="24"/>
      <c r="FH80" s="24"/>
      <c r="FI80" s="24"/>
      <c r="FJ80" s="24"/>
      <c r="FK80" s="24"/>
      <c r="FL80" s="24"/>
    </row>
    <row r="81" spans="1:168" ht="15.75" customHeight="1">
      <c r="A81" s="176"/>
      <c r="B81" s="177"/>
      <c r="C81" s="177"/>
      <c r="D81" s="177"/>
      <c r="E81" s="177"/>
      <c r="F81" s="177"/>
      <c r="G81" s="178"/>
      <c r="H81" s="179"/>
      <c r="J81" s="185"/>
      <c r="O81" s="182"/>
      <c r="P81" s="182"/>
      <c r="Q81" s="1"/>
      <c r="AC81" s="180"/>
      <c r="AD81" s="180"/>
      <c r="AE81" s="180"/>
      <c r="AJ81" s="191"/>
      <c r="BS81" s="181"/>
      <c r="CC81" s="24"/>
      <c r="CD81" s="24"/>
      <c r="CE81" s="24"/>
      <c r="CF81" s="24"/>
      <c r="CG81" s="24"/>
      <c r="CH81" s="24"/>
      <c r="CI81" s="24"/>
      <c r="CJ81" s="24"/>
      <c r="DE81" s="24"/>
      <c r="DF81" s="24"/>
      <c r="DG81" s="24"/>
      <c r="DH81" s="24"/>
      <c r="DI81" s="24"/>
      <c r="DJ81" s="24"/>
      <c r="DK81" s="24"/>
      <c r="DL81" s="24"/>
      <c r="DM81" s="24"/>
      <c r="DN81" s="24"/>
      <c r="DO81" s="24"/>
      <c r="DP81" s="24"/>
      <c r="DQ81" s="24"/>
      <c r="DR81" s="24"/>
      <c r="DS81" s="24"/>
      <c r="DT81" s="24"/>
      <c r="DU81" s="24"/>
      <c r="DV81" s="24"/>
      <c r="DW81" s="24"/>
      <c r="DX81" s="24"/>
      <c r="DY81" s="24"/>
      <c r="DZ81" s="24"/>
      <c r="EA81" s="24"/>
      <c r="EB81" s="24"/>
      <c r="EC81" s="24"/>
      <c r="ED81" s="24"/>
      <c r="EE81" s="24"/>
      <c r="EF81" s="24"/>
      <c r="EG81" s="24"/>
      <c r="EH81" s="24"/>
      <c r="EI81" s="24"/>
      <c r="EJ81" s="24"/>
      <c r="EK81" s="24"/>
      <c r="EL81" s="24"/>
      <c r="EM81" s="24"/>
      <c r="EN81" s="24"/>
      <c r="EO81" s="24"/>
      <c r="EP81" s="24"/>
      <c r="EQ81" s="24"/>
      <c r="ER81" s="24"/>
      <c r="ES81" s="24"/>
      <c r="ET81" s="24"/>
      <c r="EU81" s="24"/>
      <c r="EV81" s="24"/>
      <c r="EW81" s="24"/>
      <c r="EX81" s="24"/>
      <c r="EY81" s="24"/>
      <c r="EZ81" s="24"/>
      <c r="FA81" s="24"/>
      <c r="FB81" s="24"/>
      <c r="FC81" s="24"/>
      <c r="FD81" s="24"/>
      <c r="FE81" s="24"/>
      <c r="FF81" s="24"/>
      <c r="FG81" s="24"/>
      <c r="FH81" s="24"/>
      <c r="FI81" s="24"/>
      <c r="FJ81" s="24"/>
      <c r="FK81" s="24"/>
      <c r="FL81" s="24"/>
    </row>
    <row r="82" spans="1:168" ht="15.75" customHeight="1">
      <c r="A82" s="176"/>
      <c r="B82" s="177"/>
      <c r="C82" s="177"/>
      <c r="D82" s="177"/>
      <c r="E82" s="177"/>
      <c r="F82" s="177"/>
      <c r="G82" s="178"/>
      <c r="H82" s="179"/>
      <c r="J82" s="185"/>
      <c r="O82" s="182"/>
      <c r="P82" s="182"/>
      <c r="Q82" s="1"/>
      <c r="AC82" s="180"/>
      <c r="AD82" s="180"/>
      <c r="AE82" s="180"/>
      <c r="AJ82" s="191"/>
      <c r="BS82" s="181"/>
      <c r="CC82" s="24"/>
      <c r="CD82" s="24"/>
      <c r="CE82" s="24"/>
      <c r="CF82" s="24"/>
      <c r="CG82" s="24"/>
      <c r="CH82" s="24"/>
      <c r="CI82" s="24"/>
      <c r="CJ82" s="24"/>
      <c r="DE82" s="24"/>
      <c r="DF82" s="24"/>
      <c r="DG82" s="24"/>
      <c r="DH82" s="24"/>
      <c r="DI82" s="24"/>
      <c r="DJ82" s="24"/>
      <c r="DK82" s="24"/>
      <c r="DL82" s="24"/>
      <c r="DM82" s="24"/>
      <c r="DN82" s="24"/>
      <c r="DO82" s="24"/>
      <c r="DP82" s="24"/>
      <c r="DQ82" s="24"/>
      <c r="DR82" s="24"/>
      <c r="DS82" s="24"/>
      <c r="DT82" s="24"/>
      <c r="DU82" s="24"/>
      <c r="DV82" s="24"/>
      <c r="DW82" s="24"/>
      <c r="DX82" s="24"/>
      <c r="DY82" s="24"/>
      <c r="DZ82" s="24"/>
      <c r="EA82" s="24"/>
      <c r="EB82" s="24"/>
      <c r="EC82" s="24"/>
      <c r="ED82" s="24"/>
      <c r="EE82" s="24"/>
      <c r="EF82" s="24"/>
      <c r="EG82" s="24"/>
      <c r="EH82" s="24"/>
      <c r="EI82" s="24"/>
      <c r="EJ82" s="24"/>
      <c r="EK82" s="24"/>
      <c r="EL82" s="24"/>
      <c r="EM82" s="24"/>
      <c r="EN82" s="24"/>
      <c r="EO82" s="24"/>
      <c r="EP82" s="24"/>
      <c r="EQ82" s="24"/>
      <c r="ER82" s="24"/>
      <c r="ES82" s="24"/>
      <c r="ET82" s="24"/>
      <c r="EU82" s="24"/>
      <c r="EV82" s="24"/>
      <c r="EW82" s="24"/>
      <c r="EX82" s="24"/>
      <c r="EY82" s="24"/>
      <c r="EZ82" s="24"/>
      <c r="FA82" s="24"/>
      <c r="FB82" s="24"/>
      <c r="FC82" s="24"/>
      <c r="FD82" s="24"/>
      <c r="FE82" s="24"/>
      <c r="FF82" s="24"/>
      <c r="FG82" s="24"/>
      <c r="FH82" s="24"/>
      <c r="FI82" s="24"/>
      <c r="FJ82" s="24"/>
      <c r="FK82" s="24"/>
      <c r="FL82" s="24"/>
    </row>
    <row r="83" spans="1:168" ht="15.75" customHeight="1">
      <c r="A83" s="176"/>
      <c r="B83" s="177"/>
      <c r="C83" s="177"/>
      <c r="D83" s="177"/>
      <c r="E83" s="177"/>
      <c r="F83" s="177"/>
      <c r="G83" s="178"/>
      <c r="H83" s="179"/>
      <c r="J83" s="185"/>
      <c r="O83" s="182"/>
      <c r="P83" s="182"/>
      <c r="Q83" s="1"/>
      <c r="AC83" s="180"/>
      <c r="AD83" s="180"/>
      <c r="AE83" s="180"/>
      <c r="AJ83" s="191"/>
      <c r="BS83" s="181"/>
      <c r="CC83" s="24"/>
      <c r="CD83" s="24"/>
      <c r="CE83" s="24"/>
      <c r="CF83" s="24"/>
      <c r="CG83" s="24"/>
      <c r="CH83" s="24"/>
      <c r="CI83" s="24"/>
      <c r="CJ83" s="24"/>
      <c r="DE83" s="24"/>
      <c r="DF83" s="24"/>
      <c r="DG83" s="24"/>
      <c r="DH83" s="24"/>
      <c r="DI83" s="24"/>
      <c r="DJ83" s="24"/>
      <c r="DK83" s="24"/>
      <c r="DL83" s="24"/>
      <c r="DM83" s="24"/>
      <c r="DN83" s="24"/>
      <c r="DO83" s="24"/>
      <c r="DP83" s="24"/>
      <c r="DQ83" s="24"/>
      <c r="DR83" s="24"/>
      <c r="DS83" s="24"/>
      <c r="DT83" s="24"/>
      <c r="DU83" s="24"/>
      <c r="DV83" s="24"/>
      <c r="DW83" s="24"/>
      <c r="DX83" s="24"/>
      <c r="DY83" s="24"/>
      <c r="DZ83" s="24"/>
      <c r="EA83" s="24"/>
      <c r="EB83" s="24"/>
      <c r="EC83" s="24"/>
      <c r="ED83" s="24"/>
      <c r="EE83" s="24"/>
      <c r="EF83" s="24"/>
      <c r="EG83" s="24"/>
      <c r="EH83" s="24"/>
      <c r="EI83" s="24"/>
      <c r="EJ83" s="24"/>
      <c r="EK83" s="24"/>
      <c r="EL83" s="24"/>
      <c r="EM83" s="24"/>
      <c r="EN83" s="24"/>
      <c r="EO83" s="24"/>
      <c r="EP83" s="24"/>
      <c r="EQ83" s="24"/>
      <c r="ER83" s="24"/>
      <c r="ES83" s="24"/>
      <c r="ET83" s="24"/>
      <c r="EU83" s="24"/>
      <c r="EV83" s="24"/>
      <c r="EW83" s="24"/>
      <c r="EX83" s="24"/>
      <c r="EY83" s="24"/>
      <c r="EZ83" s="24"/>
      <c r="FA83" s="24"/>
      <c r="FB83" s="24"/>
      <c r="FC83" s="24"/>
      <c r="FD83" s="24"/>
      <c r="FE83" s="24"/>
      <c r="FF83" s="24"/>
      <c r="FG83" s="24"/>
      <c r="FH83" s="24"/>
      <c r="FI83" s="24"/>
      <c r="FJ83" s="24"/>
      <c r="FK83" s="24"/>
      <c r="FL83" s="24"/>
    </row>
    <row r="84" spans="1:168" ht="15.75" customHeight="1">
      <c r="A84" s="176"/>
      <c r="B84" s="177"/>
      <c r="C84" s="177"/>
      <c r="D84" s="177"/>
      <c r="E84" s="177"/>
      <c r="F84" s="177"/>
      <c r="G84" s="178"/>
      <c r="H84" s="179"/>
      <c r="J84" s="185"/>
      <c r="O84" s="182"/>
      <c r="P84" s="182"/>
      <c r="Q84" s="1"/>
      <c r="AC84" s="180"/>
      <c r="AD84" s="180"/>
      <c r="AE84" s="180"/>
      <c r="AJ84" s="191"/>
      <c r="BS84" s="181"/>
      <c r="CC84" s="24"/>
      <c r="CD84" s="24"/>
      <c r="CE84" s="24"/>
      <c r="CF84" s="24"/>
      <c r="CG84" s="24"/>
      <c r="CH84" s="24"/>
      <c r="CI84" s="24"/>
      <c r="CJ84" s="24"/>
      <c r="DE84" s="24"/>
      <c r="DF84" s="24"/>
      <c r="DG84" s="24"/>
      <c r="DH84" s="24"/>
      <c r="DI84" s="24"/>
      <c r="DJ84" s="24"/>
      <c r="DK84" s="24"/>
      <c r="DL84" s="24"/>
      <c r="DM84" s="24"/>
      <c r="DN84" s="24"/>
      <c r="DO84" s="24"/>
      <c r="DP84" s="24"/>
      <c r="DQ84" s="24"/>
      <c r="DR84" s="24"/>
      <c r="DS84" s="24"/>
      <c r="DT84" s="24"/>
      <c r="DU84" s="24"/>
      <c r="DV84" s="24"/>
      <c r="DW84" s="24"/>
      <c r="DX84" s="24"/>
      <c r="DY84" s="24"/>
      <c r="DZ84" s="24"/>
      <c r="EA84" s="24"/>
      <c r="EB84" s="24"/>
      <c r="EC84" s="24"/>
      <c r="ED84" s="24"/>
      <c r="EE84" s="24"/>
      <c r="EF84" s="24"/>
      <c r="EG84" s="24"/>
      <c r="EH84" s="24"/>
      <c r="EI84" s="24"/>
      <c r="EJ84" s="24"/>
      <c r="EK84" s="24"/>
      <c r="EL84" s="24"/>
      <c r="EM84" s="24"/>
      <c r="EN84" s="24"/>
      <c r="EO84" s="24"/>
      <c r="EP84" s="24"/>
      <c r="EQ84" s="24"/>
      <c r="ER84" s="24"/>
      <c r="ES84" s="24"/>
      <c r="ET84" s="24"/>
      <c r="EU84" s="24"/>
      <c r="EV84" s="24"/>
      <c r="EW84" s="24"/>
      <c r="EX84" s="24"/>
      <c r="EY84" s="24"/>
      <c r="EZ84" s="24"/>
      <c r="FA84" s="24"/>
      <c r="FB84" s="24"/>
      <c r="FC84" s="24"/>
      <c r="FD84" s="24"/>
      <c r="FE84" s="24"/>
      <c r="FF84" s="24"/>
      <c r="FG84" s="24"/>
      <c r="FH84" s="24"/>
      <c r="FI84" s="24"/>
      <c r="FJ84" s="24"/>
      <c r="FK84" s="24"/>
      <c r="FL84" s="24"/>
    </row>
    <row r="85" spans="1:168" ht="15.75" customHeight="1">
      <c r="A85" s="176"/>
      <c r="B85" s="177"/>
      <c r="C85" s="177"/>
      <c r="D85" s="177"/>
      <c r="E85" s="177"/>
      <c r="F85" s="177"/>
      <c r="G85" s="178"/>
      <c r="H85" s="179"/>
      <c r="J85" s="185"/>
      <c r="O85" s="182"/>
      <c r="P85" s="182"/>
      <c r="Q85" s="1"/>
      <c r="AC85" s="180"/>
      <c r="AD85" s="180"/>
      <c r="AE85" s="180"/>
      <c r="AJ85" s="191"/>
      <c r="BS85" s="181"/>
      <c r="CC85" s="24"/>
      <c r="CD85" s="24"/>
      <c r="CE85" s="24"/>
      <c r="CF85" s="24"/>
      <c r="CG85" s="24"/>
      <c r="CH85" s="24"/>
      <c r="CI85" s="24"/>
      <c r="CJ85" s="24"/>
      <c r="DE85" s="24"/>
      <c r="DF85" s="24"/>
      <c r="DG85" s="24"/>
      <c r="DH85" s="24"/>
      <c r="DI85" s="24"/>
      <c r="DJ85" s="24"/>
      <c r="DK85" s="24"/>
      <c r="DL85" s="24"/>
      <c r="DM85" s="24"/>
      <c r="DN85" s="24"/>
      <c r="DO85" s="24"/>
      <c r="DP85" s="24"/>
      <c r="DQ85" s="24"/>
      <c r="DR85" s="24"/>
      <c r="DS85" s="24"/>
      <c r="DT85" s="24"/>
      <c r="DU85" s="24"/>
      <c r="DV85" s="24"/>
      <c r="DW85" s="24"/>
      <c r="DX85" s="24"/>
      <c r="DY85" s="24"/>
      <c r="DZ85" s="24"/>
      <c r="EA85" s="24"/>
      <c r="EB85" s="24"/>
      <c r="EC85" s="24"/>
      <c r="ED85" s="24"/>
      <c r="EE85" s="24"/>
      <c r="EF85" s="24"/>
      <c r="EG85" s="24"/>
      <c r="EH85" s="24"/>
      <c r="EI85" s="24"/>
      <c r="EJ85" s="24"/>
      <c r="EK85" s="24"/>
      <c r="EL85" s="24"/>
      <c r="EM85" s="24"/>
      <c r="EN85" s="24"/>
      <c r="EO85" s="24"/>
      <c r="EP85" s="24"/>
      <c r="EQ85" s="24"/>
      <c r="ER85" s="24"/>
      <c r="ES85" s="24"/>
      <c r="ET85" s="24"/>
      <c r="EU85" s="24"/>
      <c r="EV85" s="24"/>
      <c r="EW85" s="24"/>
      <c r="EX85" s="24"/>
      <c r="EY85" s="24"/>
      <c r="EZ85" s="24"/>
      <c r="FA85" s="24"/>
      <c r="FB85" s="24"/>
      <c r="FC85" s="24"/>
      <c r="FD85" s="24"/>
      <c r="FE85" s="24"/>
      <c r="FF85" s="24"/>
      <c r="FG85" s="24"/>
      <c r="FH85" s="24"/>
      <c r="FI85" s="24"/>
      <c r="FJ85" s="24"/>
      <c r="FK85" s="24"/>
      <c r="FL85" s="24"/>
    </row>
    <row r="86" spans="1:168" ht="15.75" customHeight="1">
      <c r="A86" s="176"/>
      <c r="B86" s="177"/>
      <c r="C86" s="177"/>
      <c r="D86" s="177"/>
      <c r="E86" s="177"/>
      <c r="F86" s="177"/>
      <c r="G86" s="178"/>
      <c r="H86" s="179"/>
      <c r="J86" s="185"/>
      <c r="O86" s="182"/>
      <c r="P86" s="182"/>
      <c r="Q86" s="1"/>
      <c r="AC86" s="180"/>
      <c r="AD86" s="180"/>
      <c r="AE86" s="180"/>
      <c r="AJ86" s="191"/>
      <c r="BS86" s="181"/>
      <c r="CC86" s="24"/>
      <c r="CD86" s="24"/>
      <c r="CE86" s="24"/>
      <c r="CF86" s="24"/>
      <c r="CG86" s="24"/>
      <c r="CH86" s="24"/>
      <c r="CI86" s="24"/>
      <c r="CJ86" s="24"/>
      <c r="DE86" s="24"/>
      <c r="DF86" s="24"/>
      <c r="DG86" s="24"/>
      <c r="DH86" s="24"/>
      <c r="DI86" s="24"/>
      <c r="DJ86" s="24"/>
      <c r="DK86" s="24"/>
      <c r="DL86" s="24"/>
      <c r="DM86" s="24"/>
      <c r="DN86" s="24"/>
      <c r="DO86" s="24"/>
      <c r="DP86" s="24"/>
      <c r="DQ86" s="24"/>
      <c r="DR86" s="24"/>
      <c r="DS86" s="24"/>
      <c r="DT86" s="24"/>
      <c r="DU86" s="24"/>
      <c r="DV86" s="24"/>
      <c r="DW86" s="24"/>
      <c r="DX86" s="24"/>
      <c r="DY86" s="24"/>
      <c r="DZ86" s="24"/>
      <c r="EA86" s="24"/>
      <c r="EB86" s="24"/>
      <c r="EC86" s="24"/>
      <c r="ED86" s="24"/>
      <c r="EE86" s="24"/>
      <c r="EF86" s="24"/>
      <c r="EG86" s="24"/>
      <c r="EH86" s="24"/>
      <c r="EI86" s="24"/>
      <c r="EJ86" s="24"/>
      <c r="EK86" s="24"/>
      <c r="EL86" s="24"/>
      <c r="EM86" s="24"/>
      <c r="EN86" s="24"/>
      <c r="EO86" s="24"/>
      <c r="EP86" s="24"/>
      <c r="EQ86" s="24"/>
      <c r="ER86" s="24"/>
      <c r="ES86" s="24"/>
      <c r="ET86" s="24"/>
      <c r="EU86" s="24"/>
      <c r="EV86" s="24"/>
      <c r="EW86" s="24"/>
      <c r="EX86" s="24"/>
      <c r="EY86" s="24"/>
      <c r="EZ86" s="24"/>
      <c r="FA86" s="24"/>
      <c r="FB86" s="24"/>
      <c r="FC86" s="24"/>
      <c r="FD86" s="24"/>
      <c r="FE86" s="24"/>
      <c r="FF86" s="24"/>
      <c r="FG86" s="24"/>
      <c r="FH86" s="24"/>
      <c r="FI86" s="24"/>
      <c r="FJ86" s="24"/>
      <c r="FK86" s="24"/>
      <c r="FL86" s="24"/>
    </row>
    <row r="87" spans="1:168" ht="15.75" customHeight="1">
      <c r="A87" s="176"/>
      <c r="B87" s="177"/>
      <c r="C87" s="177"/>
      <c r="D87" s="177"/>
      <c r="E87" s="177"/>
      <c r="F87" s="177"/>
      <c r="G87" s="178"/>
      <c r="H87" s="179"/>
      <c r="J87" s="185"/>
      <c r="O87" s="182"/>
      <c r="P87" s="182"/>
      <c r="Q87" s="1"/>
      <c r="AC87" s="180"/>
      <c r="AD87" s="180"/>
      <c r="AE87" s="180"/>
      <c r="AJ87" s="191"/>
      <c r="BS87" s="181"/>
      <c r="CC87" s="24"/>
      <c r="CD87" s="24"/>
      <c r="CE87" s="24"/>
      <c r="CF87" s="24"/>
      <c r="CG87" s="24"/>
      <c r="CH87" s="24"/>
      <c r="CI87" s="24"/>
      <c r="CJ87" s="24"/>
      <c r="DE87" s="24"/>
      <c r="DF87" s="24"/>
      <c r="DG87" s="24"/>
      <c r="DH87" s="24"/>
      <c r="DI87" s="24"/>
      <c r="DJ87" s="24"/>
      <c r="DK87" s="24"/>
      <c r="DL87" s="24"/>
      <c r="DM87" s="24"/>
      <c r="DN87" s="24"/>
      <c r="DO87" s="24"/>
      <c r="DP87" s="24"/>
      <c r="DQ87" s="24"/>
      <c r="DR87" s="24"/>
      <c r="DS87" s="24"/>
      <c r="DT87" s="24"/>
      <c r="DU87" s="24"/>
      <c r="DV87" s="24"/>
      <c r="DW87" s="24"/>
      <c r="DX87" s="24"/>
      <c r="DY87" s="24"/>
      <c r="DZ87" s="24"/>
      <c r="EA87" s="24"/>
      <c r="EB87" s="24"/>
      <c r="EC87" s="24"/>
      <c r="ED87" s="24"/>
      <c r="EE87" s="24"/>
      <c r="EF87" s="24"/>
      <c r="EG87" s="24"/>
      <c r="EH87" s="24"/>
      <c r="EI87" s="24"/>
      <c r="EJ87" s="24"/>
      <c r="EK87" s="24"/>
      <c r="EL87" s="24"/>
      <c r="EM87" s="24"/>
      <c r="EN87" s="24"/>
      <c r="EO87" s="24"/>
      <c r="EP87" s="24"/>
      <c r="EQ87" s="24"/>
      <c r="ER87" s="24"/>
      <c r="ES87" s="24"/>
      <c r="ET87" s="24"/>
      <c r="EU87" s="24"/>
      <c r="EV87" s="24"/>
      <c r="EW87" s="24"/>
      <c r="EX87" s="24"/>
      <c r="EY87" s="24"/>
      <c r="EZ87" s="24"/>
      <c r="FA87" s="24"/>
      <c r="FB87" s="24"/>
      <c r="FC87" s="24"/>
      <c r="FD87" s="24"/>
      <c r="FE87" s="24"/>
      <c r="FF87" s="24"/>
      <c r="FG87" s="24"/>
      <c r="FH87" s="24"/>
      <c r="FI87" s="24"/>
      <c r="FJ87" s="24"/>
      <c r="FK87" s="24"/>
      <c r="FL87" s="24"/>
    </row>
    <row r="88" spans="1:168" ht="15.75" customHeight="1">
      <c r="A88" s="176"/>
      <c r="B88" s="177"/>
      <c r="C88" s="177"/>
      <c r="D88" s="177"/>
      <c r="E88" s="177"/>
      <c r="F88" s="177"/>
      <c r="G88" s="178"/>
      <c r="H88" s="179"/>
      <c r="J88" s="185"/>
      <c r="O88" s="182"/>
      <c r="P88" s="182"/>
      <c r="Q88" s="1"/>
      <c r="AC88" s="180"/>
      <c r="AD88" s="180"/>
      <c r="AE88" s="180"/>
      <c r="AJ88" s="191"/>
      <c r="BS88" s="181"/>
      <c r="CC88" s="24"/>
      <c r="CD88" s="24"/>
      <c r="CE88" s="24"/>
      <c r="CF88" s="24"/>
      <c r="CG88" s="24"/>
      <c r="CH88" s="24"/>
      <c r="CI88" s="24"/>
      <c r="CJ88" s="24"/>
      <c r="DE88" s="24"/>
      <c r="DF88" s="24"/>
      <c r="DG88" s="24"/>
      <c r="DH88" s="24"/>
      <c r="DI88" s="24"/>
      <c r="DJ88" s="24"/>
      <c r="DK88" s="24"/>
      <c r="DL88" s="24"/>
      <c r="DM88" s="24"/>
      <c r="DN88" s="24"/>
      <c r="DO88" s="24"/>
      <c r="DP88" s="24"/>
      <c r="DQ88" s="24"/>
      <c r="DR88" s="24"/>
      <c r="DS88" s="24"/>
      <c r="DT88" s="24"/>
      <c r="DU88" s="24"/>
      <c r="DV88" s="24"/>
      <c r="DW88" s="24"/>
      <c r="DX88" s="24"/>
      <c r="DY88" s="24"/>
      <c r="DZ88" s="24"/>
      <c r="EA88" s="24"/>
      <c r="EB88" s="24"/>
      <c r="EC88" s="24"/>
      <c r="ED88" s="24"/>
      <c r="EE88" s="24"/>
      <c r="EF88" s="24"/>
      <c r="EG88" s="24"/>
      <c r="EH88" s="24"/>
      <c r="EI88" s="24"/>
      <c r="EJ88" s="24"/>
      <c r="EK88" s="24"/>
      <c r="EL88" s="24"/>
      <c r="EM88" s="24"/>
      <c r="EN88" s="24"/>
      <c r="EO88" s="24"/>
      <c r="EP88" s="24"/>
      <c r="EQ88" s="24"/>
      <c r="ER88" s="24"/>
      <c r="ES88" s="24"/>
      <c r="ET88" s="24"/>
      <c r="EU88" s="24"/>
      <c r="EV88" s="24"/>
      <c r="EW88" s="24"/>
      <c r="EX88" s="24"/>
      <c r="EY88" s="24"/>
      <c r="EZ88" s="24"/>
      <c r="FA88" s="24"/>
      <c r="FB88" s="24"/>
      <c r="FC88" s="24"/>
      <c r="FD88" s="24"/>
      <c r="FE88" s="24"/>
      <c r="FF88" s="24"/>
      <c r="FG88" s="24"/>
      <c r="FH88" s="24"/>
      <c r="FI88" s="24"/>
      <c r="FJ88" s="24"/>
      <c r="FK88" s="24"/>
      <c r="FL88" s="24"/>
    </row>
    <row r="89" spans="1:168" ht="15.75" customHeight="1">
      <c r="A89" s="176"/>
      <c r="B89" s="177"/>
      <c r="C89" s="177"/>
      <c r="D89" s="177"/>
      <c r="E89" s="177"/>
      <c r="F89" s="177"/>
      <c r="G89" s="178"/>
      <c r="H89" s="179"/>
      <c r="J89" s="185"/>
      <c r="O89" s="182"/>
      <c r="P89" s="182"/>
      <c r="Q89" s="1"/>
      <c r="AC89" s="180"/>
      <c r="AD89" s="180"/>
      <c r="AE89" s="180"/>
      <c r="AJ89" s="191"/>
      <c r="BS89" s="181"/>
      <c r="CC89" s="24"/>
      <c r="CD89" s="24"/>
      <c r="CE89" s="24"/>
      <c r="CF89" s="24"/>
      <c r="CG89" s="24"/>
      <c r="CH89" s="24"/>
      <c r="CI89" s="24"/>
      <c r="CJ89" s="24"/>
      <c r="DE89" s="24"/>
      <c r="DF89" s="24"/>
      <c r="DG89" s="24"/>
      <c r="DH89" s="24"/>
      <c r="DI89" s="24"/>
      <c r="DJ89" s="24"/>
      <c r="DK89" s="24"/>
      <c r="DL89" s="24"/>
      <c r="DM89" s="24"/>
      <c r="DN89" s="24"/>
      <c r="DO89" s="24"/>
      <c r="DP89" s="24"/>
      <c r="DQ89" s="24"/>
      <c r="DR89" s="24"/>
      <c r="DS89" s="24"/>
      <c r="DT89" s="24"/>
      <c r="DU89" s="24"/>
      <c r="DV89" s="24"/>
      <c r="DW89" s="24"/>
      <c r="DX89" s="24"/>
      <c r="DY89" s="24"/>
      <c r="DZ89" s="24"/>
      <c r="EA89" s="24"/>
      <c r="EB89" s="24"/>
      <c r="EC89" s="24"/>
      <c r="ED89" s="24"/>
      <c r="EE89" s="24"/>
      <c r="EF89" s="24"/>
      <c r="EG89" s="24"/>
      <c r="EH89" s="24"/>
      <c r="EI89" s="24"/>
      <c r="EJ89" s="24"/>
      <c r="EK89" s="24"/>
      <c r="EL89" s="24"/>
      <c r="EM89" s="24"/>
      <c r="EN89" s="24"/>
      <c r="EO89" s="24"/>
      <c r="EP89" s="24"/>
      <c r="EQ89" s="24"/>
      <c r="ER89" s="24"/>
      <c r="ES89" s="24"/>
      <c r="ET89" s="24"/>
      <c r="EU89" s="24"/>
      <c r="EV89" s="24"/>
      <c r="EW89" s="24"/>
      <c r="EX89" s="24"/>
      <c r="EY89" s="24"/>
      <c r="EZ89" s="24"/>
      <c r="FA89" s="24"/>
      <c r="FB89" s="24"/>
      <c r="FC89" s="24"/>
      <c r="FD89" s="24"/>
      <c r="FE89" s="24"/>
      <c r="FF89" s="24"/>
      <c r="FG89" s="24"/>
      <c r="FH89" s="24"/>
      <c r="FI89" s="24"/>
      <c r="FJ89" s="24"/>
      <c r="FK89" s="24"/>
      <c r="FL89" s="24"/>
    </row>
    <row r="90" spans="1:168" ht="15.75" customHeight="1">
      <c r="A90" s="176"/>
      <c r="B90" s="177"/>
      <c r="C90" s="177"/>
      <c r="D90" s="177"/>
      <c r="E90" s="177"/>
      <c r="F90" s="177"/>
      <c r="G90" s="178"/>
      <c r="H90" s="179"/>
      <c r="J90" s="185"/>
      <c r="O90" s="182"/>
      <c r="P90" s="182"/>
      <c r="Q90" s="1"/>
      <c r="AC90" s="180"/>
      <c r="AD90" s="180"/>
      <c r="AE90" s="180"/>
      <c r="AJ90" s="191"/>
      <c r="BS90" s="181"/>
      <c r="CC90" s="24"/>
      <c r="CD90" s="24"/>
      <c r="CE90" s="24"/>
      <c r="CF90" s="24"/>
      <c r="CG90" s="24"/>
      <c r="CH90" s="24"/>
      <c r="CI90" s="24"/>
      <c r="CJ90" s="24"/>
      <c r="DE90" s="24"/>
      <c r="DF90" s="24"/>
      <c r="DG90" s="24"/>
      <c r="DH90" s="24"/>
      <c r="DI90" s="24"/>
      <c r="DJ90" s="24"/>
      <c r="DK90" s="24"/>
      <c r="DL90" s="24"/>
      <c r="DM90" s="24"/>
      <c r="DN90" s="24"/>
      <c r="DO90" s="24"/>
      <c r="DP90" s="24"/>
      <c r="DQ90" s="24"/>
      <c r="DR90" s="24"/>
      <c r="DS90" s="24"/>
      <c r="DT90" s="24"/>
      <c r="DU90" s="24"/>
      <c r="DV90" s="24"/>
      <c r="DW90" s="24"/>
      <c r="DX90" s="24"/>
      <c r="DY90" s="24"/>
      <c r="DZ90" s="24"/>
      <c r="EA90" s="24"/>
      <c r="EB90" s="24"/>
      <c r="EC90" s="24"/>
      <c r="ED90" s="24"/>
      <c r="EE90" s="24"/>
      <c r="EF90" s="24"/>
      <c r="EG90" s="24"/>
      <c r="EH90" s="24"/>
      <c r="EI90" s="24"/>
      <c r="EJ90" s="24"/>
      <c r="EK90" s="24"/>
      <c r="EL90" s="24"/>
      <c r="EM90" s="24"/>
      <c r="EN90" s="24"/>
      <c r="EO90" s="24"/>
      <c r="EP90" s="24"/>
      <c r="EQ90" s="24"/>
      <c r="ER90" s="24"/>
      <c r="ES90" s="24"/>
      <c r="ET90" s="24"/>
      <c r="EU90" s="24"/>
      <c r="EV90" s="24"/>
      <c r="EW90" s="24"/>
      <c r="EX90" s="24"/>
      <c r="EY90" s="24"/>
      <c r="EZ90" s="24"/>
      <c r="FA90" s="24"/>
      <c r="FB90" s="24"/>
      <c r="FC90" s="24"/>
      <c r="FD90" s="24"/>
      <c r="FE90" s="24"/>
      <c r="FF90" s="24"/>
      <c r="FG90" s="24"/>
      <c r="FH90" s="24"/>
      <c r="FI90" s="24"/>
      <c r="FJ90" s="24"/>
      <c r="FK90" s="24"/>
      <c r="FL90" s="24"/>
    </row>
    <row r="91" spans="1:168" ht="15.75" customHeight="1">
      <c r="A91" s="176"/>
      <c r="B91" s="177"/>
      <c r="C91" s="177"/>
      <c r="D91" s="177"/>
      <c r="E91" s="177"/>
      <c r="F91" s="177"/>
      <c r="G91" s="178"/>
      <c r="H91" s="179"/>
      <c r="J91" s="185"/>
      <c r="O91" s="182"/>
      <c r="P91" s="182"/>
      <c r="Q91" s="1"/>
      <c r="AC91" s="180"/>
      <c r="AD91" s="180"/>
      <c r="AE91" s="180"/>
      <c r="AJ91" s="191"/>
      <c r="BS91" s="181"/>
      <c r="CC91" s="24"/>
      <c r="CD91" s="24"/>
      <c r="CE91" s="24"/>
      <c r="CF91" s="24"/>
      <c r="CG91" s="24"/>
      <c r="CH91" s="24"/>
      <c r="CI91" s="24"/>
      <c r="CJ91" s="24"/>
      <c r="DE91" s="24"/>
      <c r="DF91" s="24"/>
      <c r="DG91" s="24"/>
      <c r="DH91" s="24"/>
      <c r="DI91" s="24"/>
      <c r="DJ91" s="24"/>
      <c r="DK91" s="24"/>
      <c r="DL91" s="24"/>
      <c r="DM91" s="24"/>
      <c r="DN91" s="24"/>
      <c r="DO91" s="24"/>
      <c r="DP91" s="24"/>
      <c r="DQ91" s="24"/>
      <c r="DR91" s="24"/>
      <c r="DS91" s="24"/>
      <c r="DT91" s="24"/>
      <c r="DU91" s="24"/>
      <c r="DV91" s="24"/>
      <c r="DW91" s="24"/>
      <c r="DX91" s="24"/>
      <c r="DY91" s="24"/>
      <c r="DZ91" s="24"/>
      <c r="EA91" s="24"/>
      <c r="EB91" s="24"/>
      <c r="EC91" s="24"/>
      <c r="ED91" s="24"/>
      <c r="EE91" s="24"/>
      <c r="EF91" s="24"/>
      <c r="EG91" s="24"/>
      <c r="EH91" s="24"/>
      <c r="EI91" s="24"/>
      <c r="EJ91" s="24"/>
      <c r="EK91" s="24"/>
      <c r="EL91" s="24"/>
      <c r="EM91" s="24"/>
      <c r="EN91" s="24"/>
      <c r="EO91" s="24"/>
      <c r="EP91" s="24"/>
      <c r="EQ91" s="24"/>
      <c r="ER91" s="24"/>
      <c r="ES91" s="24"/>
      <c r="ET91" s="24"/>
      <c r="EU91" s="24"/>
      <c r="EV91" s="24"/>
      <c r="EW91" s="24"/>
      <c r="EX91" s="24"/>
      <c r="EY91" s="24"/>
      <c r="EZ91" s="24"/>
      <c r="FA91" s="24"/>
      <c r="FB91" s="24"/>
      <c r="FC91" s="24"/>
      <c r="FD91" s="24"/>
      <c r="FE91" s="24"/>
      <c r="FF91" s="24"/>
      <c r="FG91" s="24"/>
      <c r="FH91" s="24"/>
      <c r="FI91" s="24"/>
      <c r="FJ91" s="24"/>
      <c r="FK91" s="24"/>
      <c r="FL91" s="24"/>
    </row>
    <row r="92" spans="1:168" ht="15.75" customHeight="1">
      <c r="A92" s="176"/>
      <c r="B92" s="177"/>
      <c r="C92" s="177"/>
      <c r="D92" s="177"/>
      <c r="E92" s="177"/>
      <c r="F92" s="177"/>
      <c r="G92" s="178"/>
      <c r="H92" s="179"/>
      <c r="J92" s="185"/>
      <c r="O92" s="182"/>
      <c r="P92" s="182"/>
      <c r="Q92" s="1"/>
      <c r="AC92" s="180"/>
      <c r="AD92" s="180"/>
      <c r="AE92" s="180"/>
      <c r="AJ92" s="191"/>
      <c r="BS92" s="181"/>
      <c r="CC92" s="24"/>
      <c r="CD92" s="24"/>
      <c r="CE92" s="24"/>
      <c r="CF92" s="24"/>
      <c r="CG92" s="24"/>
      <c r="CH92" s="24"/>
      <c r="CI92" s="24"/>
      <c r="CJ92" s="24"/>
      <c r="DE92" s="24"/>
      <c r="DF92" s="24"/>
      <c r="DG92" s="24"/>
      <c r="DH92" s="24"/>
      <c r="DI92" s="24"/>
      <c r="DJ92" s="24"/>
      <c r="DK92" s="24"/>
      <c r="DL92" s="24"/>
      <c r="DM92" s="24"/>
      <c r="DN92" s="24"/>
      <c r="DO92" s="24"/>
      <c r="DP92" s="24"/>
      <c r="DQ92" s="24"/>
      <c r="DR92" s="24"/>
      <c r="DS92" s="24"/>
      <c r="DT92" s="24"/>
      <c r="DU92" s="24"/>
      <c r="DV92" s="24"/>
      <c r="DW92" s="24"/>
      <c r="DX92" s="24"/>
      <c r="DY92" s="24"/>
      <c r="DZ92" s="24"/>
      <c r="EA92" s="24"/>
      <c r="EB92" s="24"/>
      <c r="EC92" s="24"/>
      <c r="ED92" s="24"/>
      <c r="EE92" s="24"/>
      <c r="EF92" s="24"/>
      <c r="EG92" s="24"/>
      <c r="EH92" s="24"/>
      <c r="EI92" s="24"/>
      <c r="EJ92" s="24"/>
      <c r="EK92" s="24"/>
      <c r="EL92" s="24"/>
      <c r="EM92" s="24"/>
      <c r="EN92" s="24"/>
      <c r="EO92" s="24"/>
      <c r="EP92" s="24"/>
      <c r="EQ92" s="24"/>
      <c r="ER92" s="24"/>
      <c r="ES92" s="24"/>
      <c r="ET92" s="24"/>
      <c r="EU92" s="24"/>
      <c r="EV92" s="24"/>
      <c r="EW92" s="24"/>
      <c r="EX92" s="24"/>
      <c r="EY92" s="24"/>
      <c r="EZ92" s="24"/>
      <c r="FA92" s="24"/>
      <c r="FB92" s="24"/>
      <c r="FC92" s="24"/>
      <c r="FD92" s="24"/>
      <c r="FE92" s="24"/>
      <c r="FF92" s="24"/>
      <c r="FG92" s="24"/>
      <c r="FH92" s="24"/>
      <c r="FI92" s="24"/>
      <c r="FJ92" s="24"/>
      <c r="FK92" s="24"/>
      <c r="FL92" s="24"/>
    </row>
    <row r="93" spans="1:168" ht="15.75" customHeight="1">
      <c r="A93" s="176"/>
      <c r="B93" s="177"/>
      <c r="C93" s="177"/>
      <c r="D93" s="177"/>
      <c r="E93" s="177"/>
      <c r="F93" s="177"/>
      <c r="G93" s="178"/>
      <c r="H93" s="179"/>
      <c r="J93" s="185"/>
      <c r="O93" s="182"/>
      <c r="P93" s="182"/>
      <c r="Q93" s="1"/>
      <c r="AC93" s="180"/>
      <c r="AD93" s="180"/>
      <c r="AE93" s="180"/>
      <c r="AJ93" s="191"/>
      <c r="BS93" s="181"/>
      <c r="CC93" s="24"/>
      <c r="CD93" s="24"/>
      <c r="CE93" s="24"/>
      <c r="CF93" s="24"/>
      <c r="CG93" s="24"/>
      <c r="CH93" s="24"/>
      <c r="CI93" s="24"/>
      <c r="CJ93" s="24"/>
      <c r="DE93" s="24"/>
      <c r="DF93" s="24"/>
      <c r="DG93" s="24"/>
      <c r="DH93" s="24"/>
      <c r="DI93" s="24"/>
      <c r="DJ93" s="24"/>
      <c r="DK93" s="24"/>
      <c r="DL93" s="24"/>
      <c r="DM93" s="24"/>
      <c r="DN93" s="24"/>
      <c r="DO93" s="24"/>
      <c r="DP93" s="24"/>
      <c r="DQ93" s="24"/>
      <c r="DR93" s="24"/>
      <c r="DS93" s="24"/>
      <c r="DT93" s="24"/>
      <c r="DU93" s="24"/>
      <c r="DV93" s="24"/>
      <c r="DW93" s="24"/>
      <c r="DX93" s="24"/>
      <c r="DY93" s="24"/>
      <c r="DZ93" s="24"/>
      <c r="EA93" s="24"/>
      <c r="EB93" s="24"/>
      <c r="EC93" s="24"/>
      <c r="ED93" s="24"/>
      <c r="EE93" s="24"/>
      <c r="EF93" s="24"/>
      <c r="EG93" s="24"/>
      <c r="EH93" s="24"/>
      <c r="EI93" s="24"/>
      <c r="EJ93" s="24"/>
      <c r="EK93" s="24"/>
      <c r="EL93" s="24"/>
      <c r="EM93" s="24"/>
      <c r="EN93" s="24"/>
      <c r="EO93" s="24"/>
      <c r="EP93" s="24"/>
      <c r="EQ93" s="24"/>
      <c r="ER93" s="24"/>
      <c r="ES93" s="24"/>
      <c r="ET93" s="24"/>
      <c r="EU93" s="24"/>
      <c r="EV93" s="24"/>
      <c r="EW93" s="24"/>
      <c r="EX93" s="24"/>
      <c r="EY93" s="24"/>
      <c r="EZ93" s="24"/>
      <c r="FA93" s="24"/>
      <c r="FB93" s="24"/>
      <c r="FC93" s="24"/>
      <c r="FD93" s="24"/>
      <c r="FE93" s="24"/>
      <c r="FF93" s="24"/>
      <c r="FG93" s="24"/>
      <c r="FH93" s="24"/>
      <c r="FI93" s="24"/>
      <c r="FJ93" s="24"/>
      <c r="FK93" s="24"/>
      <c r="FL93" s="24"/>
    </row>
    <row r="94" spans="1:168" ht="15.75" customHeight="1">
      <c r="A94" s="176"/>
      <c r="B94" s="177"/>
      <c r="C94" s="177"/>
      <c r="D94" s="177"/>
      <c r="E94" s="177"/>
      <c r="F94" s="177"/>
      <c r="G94" s="178"/>
      <c r="H94" s="179"/>
      <c r="J94" s="185"/>
      <c r="O94" s="182"/>
      <c r="P94" s="182"/>
      <c r="Q94" s="1"/>
      <c r="AC94" s="180"/>
      <c r="AD94" s="180"/>
      <c r="AE94" s="180"/>
      <c r="AJ94" s="191"/>
      <c r="BS94" s="181"/>
      <c r="CC94" s="24"/>
      <c r="CD94" s="24"/>
      <c r="CE94" s="24"/>
      <c r="CF94" s="24"/>
      <c r="CG94" s="24"/>
      <c r="CH94" s="24"/>
      <c r="CI94" s="24"/>
      <c r="CJ94" s="24"/>
      <c r="DE94" s="24"/>
      <c r="DF94" s="24"/>
      <c r="DG94" s="24"/>
      <c r="DH94" s="24"/>
      <c r="DI94" s="24"/>
      <c r="DJ94" s="24"/>
      <c r="DK94" s="24"/>
      <c r="DL94" s="24"/>
      <c r="DM94" s="24"/>
      <c r="DN94" s="24"/>
      <c r="DO94" s="24"/>
      <c r="DP94" s="24"/>
      <c r="DQ94" s="24"/>
      <c r="DR94" s="24"/>
      <c r="DS94" s="24"/>
      <c r="DT94" s="24"/>
      <c r="DU94" s="24"/>
      <c r="DV94" s="24"/>
      <c r="DW94" s="24"/>
      <c r="DX94" s="24"/>
      <c r="DY94" s="24"/>
      <c r="DZ94" s="24"/>
      <c r="EA94" s="24"/>
      <c r="EB94" s="24"/>
      <c r="EC94" s="24"/>
      <c r="ED94" s="24"/>
      <c r="EE94" s="24"/>
      <c r="EF94" s="24"/>
      <c r="EG94" s="24"/>
      <c r="EH94" s="24"/>
      <c r="EI94" s="24"/>
      <c r="EJ94" s="24"/>
      <c r="EK94" s="24"/>
      <c r="EL94" s="24"/>
      <c r="EM94" s="24"/>
      <c r="EN94" s="24"/>
      <c r="EO94" s="24"/>
      <c r="EP94" s="24"/>
      <c r="EQ94" s="24"/>
      <c r="ER94" s="24"/>
      <c r="ES94" s="24"/>
      <c r="ET94" s="24"/>
      <c r="EU94" s="24"/>
      <c r="EV94" s="24"/>
      <c r="EW94" s="24"/>
      <c r="EX94" s="24"/>
      <c r="EY94" s="24"/>
      <c r="EZ94" s="24"/>
      <c r="FA94" s="24"/>
      <c r="FB94" s="24"/>
      <c r="FC94" s="24"/>
      <c r="FD94" s="24"/>
      <c r="FE94" s="24"/>
      <c r="FF94" s="24"/>
      <c r="FG94" s="24"/>
      <c r="FH94" s="24"/>
      <c r="FI94" s="24"/>
      <c r="FJ94" s="24"/>
      <c r="FK94" s="24"/>
      <c r="FL94" s="24"/>
    </row>
    <row r="95" spans="1:168" ht="15.75" customHeight="1">
      <c r="A95" s="176"/>
      <c r="B95" s="177"/>
      <c r="C95" s="177"/>
      <c r="D95" s="177"/>
      <c r="E95" s="177"/>
      <c r="F95" s="177"/>
      <c r="G95" s="178"/>
      <c r="H95" s="179"/>
      <c r="J95" s="185"/>
      <c r="O95" s="182"/>
      <c r="P95" s="182"/>
      <c r="Q95" s="1"/>
      <c r="AC95" s="180"/>
      <c r="AD95" s="180"/>
      <c r="AE95" s="180"/>
      <c r="AJ95" s="191"/>
      <c r="BS95" s="181"/>
      <c r="CC95" s="24"/>
      <c r="CD95" s="24"/>
      <c r="CE95" s="24"/>
      <c r="CF95" s="24"/>
      <c r="CG95" s="24"/>
      <c r="CH95" s="24"/>
      <c r="CI95" s="24"/>
      <c r="CJ95" s="24"/>
      <c r="DE95" s="24"/>
      <c r="DF95" s="24"/>
      <c r="DG95" s="24"/>
      <c r="DH95" s="24"/>
      <c r="DI95" s="24"/>
      <c r="DJ95" s="24"/>
      <c r="DK95" s="24"/>
      <c r="DL95" s="24"/>
      <c r="DM95" s="24"/>
      <c r="DN95" s="24"/>
      <c r="DO95" s="24"/>
      <c r="DP95" s="24"/>
      <c r="DQ95" s="24"/>
      <c r="DR95" s="24"/>
      <c r="DS95" s="24"/>
      <c r="DT95" s="24"/>
      <c r="DU95" s="24"/>
      <c r="DV95" s="24"/>
      <c r="DW95" s="24"/>
      <c r="DX95" s="24"/>
      <c r="DY95" s="24"/>
      <c r="DZ95" s="24"/>
      <c r="EA95" s="24"/>
      <c r="EB95" s="24"/>
      <c r="EC95" s="24"/>
      <c r="ED95" s="24"/>
      <c r="EE95" s="24"/>
      <c r="EF95" s="24"/>
      <c r="EG95" s="24"/>
      <c r="EH95" s="24"/>
      <c r="EI95" s="24"/>
      <c r="EJ95" s="24"/>
      <c r="EK95" s="24"/>
      <c r="EL95" s="24"/>
      <c r="EM95" s="24"/>
      <c r="EN95" s="24"/>
      <c r="EO95" s="24"/>
      <c r="EP95" s="24"/>
      <c r="EQ95" s="24"/>
      <c r="ER95" s="24"/>
      <c r="ES95" s="24"/>
      <c r="ET95" s="24"/>
      <c r="EU95" s="24"/>
      <c r="EV95" s="24"/>
      <c r="EW95" s="24"/>
      <c r="EX95" s="24"/>
      <c r="EY95" s="24"/>
      <c r="EZ95" s="24"/>
      <c r="FA95" s="24"/>
      <c r="FB95" s="24"/>
      <c r="FC95" s="24"/>
      <c r="FD95" s="24"/>
      <c r="FE95" s="24"/>
      <c r="FF95" s="24"/>
      <c r="FG95" s="24"/>
      <c r="FH95" s="24"/>
      <c r="FI95" s="24"/>
      <c r="FJ95" s="24"/>
      <c r="FK95" s="24"/>
      <c r="FL95" s="24"/>
    </row>
    <row r="96" spans="1:168" ht="15.75" customHeight="1">
      <c r="A96" s="176"/>
      <c r="B96" s="177"/>
      <c r="C96" s="177"/>
      <c r="D96" s="177"/>
      <c r="E96" s="177"/>
      <c r="F96" s="177"/>
      <c r="G96" s="178"/>
      <c r="H96" s="179"/>
      <c r="J96" s="185"/>
      <c r="O96" s="182"/>
      <c r="P96" s="182"/>
      <c r="Q96" s="1"/>
      <c r="AC96" s="180"/>
      <c r="AD96" s="180"/>
      <c r="AE96" s="180"/>
      <c r="AJ96" s="191"/>
      <c r="BS96" s="181"/>
      <c r="CC96" s="24"/>
      <c r="CD96" s="24"/>
      <c r="CE96" s="24"/>
      <c r="CF96" s="24"/>
      <c r="CG96" s="24"/>
      <c r="CH96" s="24"/>
      <c r="CI96" s="24"/>
      <c r="CJ96" s="24"/>
      <c r="DE96" s="24"/>
      <c r="DF96" s="24"/>
      <c r="DG96" s="24"/>
      <c r="DH96" s="24"/>
      <c r="DI96" s="24"/>
      <c r="DJ96" s="24"/>
      <c r="DK96" s="24"/>
      <c r="DL96" s="24"/>
      <c r="DM96" s="24"/>
      <c r="DN96" s="24"/>
      <c r="DO96" s="24"/>
      <c r="DP96" s="24"/>
      <c r="DQ96" s="24"/>
      <c r="DR96" s="24"/>
      <c r="DS96" s="24"/>
      <c r="DT96" s="24"/>
      <c r="DU96" s="24"/>
      <c r="DV96" s="24"/>
      <c r="DW96" s="24"/>
      <c r="DX96" s="24"/>
      <c r="DY96" s="24"/>
      <c r="DZ96" s="24"/>
      <c r="EA96" s="24"/>
      <c r="EB96" s="24"/>
      <c r="EC96" s="24"/>
      <c r="ED96" s="24"/>
      <c r="EE96" s="24"/>
      <c r="EF96" s="24"/>
      <c r="EG96" s="24"/>
      <c r="EH96" s="24"/>
      <c r="EI96" s="24"/>
      <c r="EJ96" s="24"/>
      <c r="EK96" s="24"/>
      <c r="EL96" s="24"/>
      <c r="EM96" s="24"/>
      <c r="EN96" s="24"/>
      <c r="EO96" s="24"/>
      <c r="EP96" s="24"/>
      <c r="EQ96" s="24"/>
      <c r="ER96" s="24"/>
      <c r="ES96" s="24"/>
      <c r="ET96" s="24"/>
      <c r="EU96" s="24"/>
      <c r="EV96" s="24"/>
      <c r="EW96" s="24"/>
      <c r="EX96" s="24"/>
      <c r="EY96" s="24"/>
      <c r="EZ96" s="24"/>
      <c r="FA96" s="24"/>
      <c r="FB96" s="24"/>
      <c r="FC96" s="24"/>
      <c r="FD96" s="24"/>
      <c r="FE96" s="24"/>
      <c r="FF96" s="24"/>
      <c r="FG96" s="24"/>
      <c r="FH96" s="24"/>
      <c r="FI96" s="24"/>
      <c r="FJ96" s="24"/>
      <c r="FK96" s="24"/>
      <c r="FL96" s="24"/>
    </row>
    <row r="97" spans="1:168" ht="15.75" customHeight="1">
      <c r="A97" s="176"/>
      <c r="B97" s="177"/>
      <c r="C97" s="177"/>
      <c r="D97" s="177"/>
      <c r="E97" s="177"/>
      <c r="F97" s="177"/>
      <c r="G97" s="178"/>
      <c r="H97" s="179"/>
      <c r="J97" s="185"/>
      <c r="O97" s="182"/>
      <c r="P97" s="182"/>
      <c r="Q97" s="1"/>
      <c r="AC97" s="180"/>
      <c r="AD97" s="180"/>
      <c r="AE97" s="180"/>
      <c r="AJ97" s="191"/>
      <c r="BS97" s="181"/>
      <c r="CC97" s="24"/>
      <c r="CD97" s="24"/>
      <c r="CE97" s="24"/>
      <c r="CF97" s="24"/>
      <c r="CG97" s="24"/>
      <c r="CH97" s="24"/>
      <c r="CI97" s="24"/>
      <c r="CJ97" s="24"/>
      <c r="DE97" s="24"/>
      <c r="DF97" s="24"/>
      <c r="DG97" s="24"/>
      <c r="DH97" s="24"/>
      <c r="DI97" s="24"/>
      <c r="DJ97" s="24"/>
      <c r="DK97" s="24"/>
      <c r="DL97" s="24"/>
      <c r="DM97" s="24"/>
      <c r="DN97" s="24"/>
      <c r="DO97" s="24"/>
      <c r="DP97" s="24"/>
      <c r="DQ97" s="24"/>
      <c r="DR97" s="24"/>
      <c r="DS97" s="24"/>
      <c r="DT97" s="24"/>
      <c r="DU97" s="24"/>
      <c r="DV97" s="24"/>
      <c r="DW97" s="24"/>
      <c r="DX97" s="24"/>
      <c r="DY97" s="24"/>
      <c r="DZ97" s="24"/>
      <c r="EA97" s="24"/>
      <c r="EB97" s="24"/>
      <c r="EC97" s="24"/>
      <c r="ED97" s="24"/>
      <c r="EE97" s="24"/>
      <c r="EF97" s="24"/>
      <c r="EG97" s="24"/>
      <c r="EH97" s="24"/>
      <c r="EI97" s="24"/>
      <c r="EJ97" s="24"/>
      <c r="EK97" s="24"/>
      <c r="EL97" s="24"/>
      <c r="EM97" s="24"/>
      <c r="EN97" s="24"/>
      <c r="EO97" s="24"/>
      <c r="EP97" s="24"/>
      <c r="EQ97" s="24"/>
      <c r="ER97" s="24"/>
      <c r="ES97" s="24"/>
      <c r="ET97" s="24"/>
      <c r="EU97" s="24"/>
      <c r="EV97" s="24"/>
      <c r="EW97" s="24"/>
      <c r="EX97" s="24"/>
      <c r="EY97" s="24"/>
      <c r="EZ97" s="24"/>
      <c r="FA97" s="24"/>
      <c r="FB97" s="24"/>
      <c r="FC97" s="24"/>
      <c r="FD97" s="24"/>
      <c r="FE97" s="24"/>
      <c r="FF97" s="24"/>
      <c r="FG97" s="24"/>
      <c r="FH97" s="24"/>
      <c r="FI97" s="24"/>
      <c r="FJ97" s="24"/>
      <c r="FK97" s="24"/>
      <c r="FL97" s="24"/>
    </row>
    <row r="98" spans="1:168" ht="15.75" customHeight="1">
      <c r="A98" s="176"/>
      <c r="B98" s="177"/>
      <c r="C98" s="177"/>
      <c r="D98" s="177"/>
      <c r="E98" s="177"/>
      <c r="F98" s="177"/>
      <c r="G98" s="178"/>
      <c r="H98" s="179"/>
      <c r="J98" s="185"/>
      <c r="O98" s="182"/>
      <c r="P98" s="182"/>
      <c r="Q98" s="1"/>
      <c r="AC98" s="180"/>
      <c r="AD98" s="180"/>
      <c r="AE98" s="180"/>
      <c r="AJ98" s="191"/>
      <c r="BS98" s="181"/>
      <c r="CC98" s="24"/>
      <c r="CD98" s="24"/>
      <c r="CE98" s="24"/>
      <c r="CF98" s="24"/>
      <c r="CG98" s="24"/>
      <c r="CH98" s="24"/>
      <c r="CI98" s="24"/>
      <c r="CJ98" s="24"/>
      <c r="DE98" s="24"/>
      <c r="DF98" s="24"/>
      <c r="DG98" s="24"/>
      <c r="DH98" s="24"/>
      <c r="DI98" s="24"/>
      <c r="DJ98" s="24"/>
      <c r="DK98" s="24"/>
      <c r="DL98" s="24"/>
      <c r="DM98" s="24"/>
      <c r="DN98" s="24"/>
      <c r="DO98" s="24"/>
      <c r="DP98" s="24"/>
      <c r="DQ98" s="24"/>
      <c r="DR98" s="24"/>
      <c r="DS98" s="24"/>
      <c r="DT98" s="24"/>
      <c r="DU98" s="24"/>
      <c r="DV98" s="24"/>
      <c r="DW98" s="24"/>
      <c r="DX98" s="24"/>
      <c r="DY98" s="24"/>
      <c r="DZ98" s="24"/>
      <c r="EA98" s="24"/>
      <c r="EB98" s="24"/>
      <c r="EC98" s="24"/>
      <c r="ED98" s="24"/>
      <c r="EE98" s="24"/>
      <c r="EF98" s="24"/>
      <c r="EG98" s="24"/>
      <c r="EH98" s="24"/>
      <c r="EI98" s="24"/>
      <c r="EJ98" s="24"/>
      <c r="EK98" s="24"/>
      <c r="EL98" s="24"/>
      <c r="EM98" s="24"/>
      <c r="EN98" s="24"/>
      <c r="EO98" s="24"/>
      <c r="EP98" s="24"/>
      <c r="EQ98" s="24"/>
      <c r="ER98" s="24"/>
      <c r="ES98" s="24"/>
      <c r="ET98" s="24"/>
      <c r="EU98" s="24"/>
      <c r="EV98" s="24"/>
      <c r="EW98" s="24"/>
      <c r="EX98" s="24"/>
      <c r="EY98" s="24"/>
      <c r="EZ98" s="24"/>
      <c r="FA98" s="24"/>
      <c r="FB98" s="24"/>
      <c r="FC98" s="24"/>
      <c r="FD98" s="24"/>
      <c r="FE98" s="24"/>
      <c r="FF98" s="24"/>
      <c r="FG98" s="24"/>
      <c r="FH98" s="24"/>
      <c r="FI98" s="24"/>
      <c r="FJ98" s="24"/>
      <c r="FK98" s="24"/>
      <c r="FL98" s="24"/>
    </row>
    <row r="99" spans="1:168" ht="15.75" customHeight="1">
      <c r="A99" s="176"/>
      <c r="B99" s="177"/>
      <c r="C99" s="177"/>
      <c r="D99" s="177"/>
      <c r="E99" s="177"/>
      <c r="F99" s="177"/>
      <c r="G99" s="178"/>
      <c r="H99" s="179"/>
      <c r="J99" s="185"/>
      <c r="O99" s="182"/>
      <c r="P99" s="182"/>
      <c r="Q99" s="1"/>
      <c r="AC99" s="180"/>
      <c r="AD99" s="180"/>
      <c r="AE99" s="180"/>
      <c r="AJ99" s="191"/>
      <c r="BS99" s="181"/>
      <c r="CC99" s="24"/>
      <c r="CD99" s="24"/>
      <c r="CE99" s="24"/>
      <c r="CF99" s="24"/>
      <c r="CG99" s="24"/>
      <c r="CH99" s="24"/>
      <c r="CI99" s="24"/>
      <c r="CJ99" s="24"/>
      <c r="DE99" s="24"/>
      <c r="DF99" s="24"/>
      <c r="DG99" s="24"/>
      <c r="DH99" s="24"/>
      <c r="DI99" s="24"/>
      <c r="DJ99" s="24"/>
      <c r="DK99" s="24"/>
      <c r="DL99" s="24"/>
      <c r="DM99" s="24"/>
      <c r="DN99" s="24"/>
      <c r="DO99" s="24"/>
      <c r="DP99" s="24"/>
      <c r="DQ99" s="24"/>
      <c r="DR99" s="24"/>
      <c r="DS99" s="24"/>
      <c r="DT99" s="24"/>
      <c r="DU99" s="24"/>
      <c r="DV99" s="24"/>
      <c r="DW99" s="24"/>
      <c r="DX99" s="24"/>
      <c r="DY99" s="24"/>
      <c r="DZ99" s="24"/>
      <c r="EA99" s="24"/>
      <c r="EB99" s="24"/>
      <c r="EC99" s="24"/>
      <c r="ED99" s="24"/>
      <c r="EE99" s="24"/>
      <c r="EF99" s="24"/>
      <c r="EG99" s="24"/>
      <c r="EH99" s="24"/>
      <c r="EI99" s="24"/>
      <c r="EJ99" s="24"/>
      <c r="EK99" s="24"/>
      <c r="EL99" s="24"/>
      <c r="EM99" s="24"/>
      <c r="EN99" s="24"/>
      <c r="EO99" s="24"/>
      <c r="EP99" s="24"/>
      <c r="EQ99" s="24"/>
      <c r="ER99" s="24"/>
      <c r="ES99" s="24"/>
      <c r="ET99" s="24"/>
      <c r="EU99" s="24"/>
      <c r="EV99" s="24"/>
      <c r="EW99" s="24"/>
      <c r="EX99" s="24"/>
      <c r="EY99" s="24"/>
      <c r="EZ99" s="24"/>
      <c r="FA99" s="24"/>
      <c r="FB99" s="24"/>
      <c r="FC99" s="24"/>
      <c r="FD99" s="24"/>
      <c r="FE99" s="24"/>
      <c r="FF99" s="24"/>
      <c r="FG99" s="24"/>
      <c r="FH99" s="24"/>
      <c r="FI99" s="24"/>
      <c r="FJ99" s="24"/>
      <c r="FK99" s="24"/>
      <c r="FL99" s="24"/>
    </row>
    <row r="100" spans="1:168" ht="15.75" customHeight="1">
      <c r="A100" s="176"/>
      <c r="B100" s="177"/>
      <c r="C100" s="177"/>
      <c r="D100" s="177"/>
      <c r="E100" s="177"/>
      <c r="F100" s="177"/>
      <c r="G100" s="178"/>
      <c r="H100" s="179"/>
      <c r="J100" s="185"/>
      <c r="O100" s="182"/>
      <c r="P100" s="182"/>
      <c r="Q100" s="1"/>
      <c r="AC100" s="180"/>
      <c r="AD100" s="180"/>
      <c r="AE100" s="180"/>
      <c r="AJ100" s="191"/>
      <c r="BS100" s="181"/>
      <c r="CC100" s="24"/>
      <c r="CD100" s="24"/>
      <c r="CE100" s="24"/>
      <c r="CF100" s="24"/>
      <c r="CG100" s="24"/>
      <c r="CH100" s="24"/>
      <c r="CI100" s="24"/>
      <c r="CJ100" s="24"/>
      <c r="DE100" s="24"/>
      <c r="DF100" s="24"/>
      <c r="DG100" s="24"/>
      <c r="DH100" s="24"/>
      <c r="DI100" s="24"/>
      <c r="DJ100" s="24"/>
      <c r="DK100" s="24"/>
      <c r="DL100" s="24"/>
      <c r="DM100" s="24"/>
      <c r="DN100" s="24"/>
      <c r="DO100" s="24"/>
      <c r="DP100" s="24"/>
      <c r="DQ100" s="24"/>
      <c r="DR100" s="24"/>
      <c r="DS100" s="24"/>
      <c r="DT100" s="24"/>
      <c r="DU100" s="24"/>
      <c r="DV100" s="24"/>
      <c r="DW100" s="24"/>
      <c r="DX100" s="24"/>
      <c r="DY100" s="24"/>
      <c r="DZ100" s="24"/>
      <c r="EA100" s="24"/>
      <c r="EB100" s="24"/>
      <c r="EC100" s="24"/>
      <c r="ED100" s="24"/>
      <c r="EE100" s="24"/>
      <c r="EF100" s="24"/>
      <c r="EG100" s="24"/>
      <c r="EH100" s="24"/>
      <c r="EI100" s="24"/>
      <c r="EJ100" s="24"/>
      <c r="EK100" s="24"/>
      <c r="EL100" s="24"/>
      <c r="EM100" s="24"/>
      <c r="EN100" s="24"/>
      <c r="EO100" s="24"/>
      <c r="EP100" s="24"/>
      <c r="EQ100" s="24"/>
      <c r="ER100" s="24"/>
      <c r="ES100" s="24"/>
      <c r="ET100" s="24"/>
      <c r="EU100" s="24"/>
      <c r="EV100" s="24"/>
      <c r="EW100" s="24"/>
      <c r="EX100" s="24"/>
      <c r="EY100" s="24"/>
      <c r="EZ100" s="24"/>
      <c r="FA100" s="24"/>
      <c r="FB100" s="24"/>
      <c r="FC100" s="24"/>
      <c r="FD100" s="24"/>
      <c r="FE100" s="24"/>
      <c r="FF100" s="24"/>
      <c r="FG100" s="24"/>
      <c r="FH100" s="24"/>
      <c r="FI100" s="24"/>
      <c r="FJ100" s="24"/>
      <c r="FK100" s="24"/>
      <c r="FL100" s="24"/>
    </row>
    <row r="101" spans="1:168" ht="15.75" customHeight="1">
      <c r="A101" s="176"/>
      <c r="B101" s="177"/>
      <c r="C101" s="177"/>
      <c r="D101" s="177"/>
      <c r="E101" s="177"/>
      <c r="F101" s="177"/>
      <c r="G101" s="178"/>
      <c r="H101" s="179"/>
      <c r="J101" s="185"/>
      <c r="O101" s="182"/>
      <c r="P101" s="182"/>
      <c r="Q101" s="1"/>
      <c r="AC101" s="180"/>
      <c r="AD101" s="180"/>
      <c r="AE101" s="180"/>
      <c r="AJ101" s="191"/>
      <c r="BS101" s="181"/>
      <c r="CC101" s="24"/>
      <c r="CD101" s="24"/>
      <c r="CE101" s="24"/>
      <c r="CF101" s="24"/>
      <c r="CG101" s="24"/>
      <c r="CH101" s="24"/>
      <c r="CI101" s="24"/>
      <c r="CJ101" s="24"/>
      <c r="DE101" s="24"/>
      <c r="DF101" s="24"/>
      <c r="DG101" s="24"/>
      <c r="DH101" s="24"/>
      <c r="DI101" s="24"/>
      <c r="DJ101" s="24"/>
      <c r="DK101" s="24"/>
      <c r="DL101" s="24"/>
      <c r="DM101" s="24"/>
      <c r="DN101" s="24"/>
      <c r="DO101" s="24"/>
      <c r="DP101" s="24"/>
      <c r="DQ101" s="24"/>
      <c r="DR101" s="24"/>
      <c r="DS101" s="24"/>
      <c r="DT101" s="24"/>
      <c r="DU101" s="24"/>
      <c r="DV101" s="24"/>
      <c r="DW101" s="24"/>
      <c r="DX101" s="24"/>
      <c r="DY101" s="24"/>
      <c r="DZ101" s="24"/>
      <c r="EA101" s="24"/>
      <c r="EB101" s="24"/>
      <c r="EC101" s="24"/>
      <c r="ED101" s="24"/>
      <c r="EE101" s="24"/>
      <c r="EF101" s="24"/>
      <c r="EG101" s="24"/>
      <c r="EH101" s="24"/>
      <c r="EI101" s="24"/>
      <c r="EJ101" s="24"/>
      <c r="EK101" s="24"/>
      <c r="EL101" s="24"/>
      <c r="EM101" s="24"/>
      <c r="EN101" s="24"/>
      <c r="EO101" s="24"/>
      <c r="EP101" s="24"/>
      <c r="EQ101" s="24"/>
      <c r="ER101" s="24"/>
      <c r="ES101" s="24"/>
      <c r="ET101" s="24"/>
      <c r="EU101" s="24"/>
      <c r="EV101" s="24"/>
      <c r="EW101" s="24"/>
      <c r="EX101" s="24"/>
      <c r="EY101" s="24"/>
      <c r="EZ101" s="24"/>
      <c r="FA101" s="24"/>
      <c r="FB101" s="24"/>
      <c r="FC101" s="24"/>
      <c r="FD101" s="24"/>
      <c r="FE101" s="24"/>
      <c r="FF101" s="24"/>
      <c r="FG101" s="24"/>
      <c r="FH101" s="24"/>
      <c r="FI101" s="24"/>
      <c r="FJ101" s="24"/>
      <c r="FK101" s="24"/>
      <c r="FL101" s="24"/>
    </row>
    <row r="102" spans="1:168" ht="15.75" customHeight="1">
      <c r="A102" s="176"/>
      <c r="B102" s="177"/>
      <c r="C102" s="177"/>
      <c r="D102" s="177"/>
      <c r="E102" s="177"/>
      <c r="F102" s="177"/>
      <c r="G102" s="178"/>
      <c r="H102" s="179"/>
      <c r="J102" s="185"/>
      <c r="O102" s="182"/>
      <c r="P102" s="182"/>
      <c r="Q102" s="1"/>
      <c r="AC102" s="180"/>
      <c r="AD102" s="180"/>
      <c r="AE102" s="180"/>
      <c r="AJ102" s="191"/>
      <c r="BS102" s="181"/>
      <c r="CC102" s="24"/>
      <c r="CD102" s="24"/>
      <c r="CE102" s="24"/>
      <c r="CF102" s="24"/>
      <c r="CG102" s="24"/>
      <c r="CH102" s="24"/>
      <c r="CI102" s="24"/>
      <c r="CJ102" s="24"/>
      <c r="DE102" s="24"/>
      <c r="DF102" s="24"/>
      <c r="DG102" s="24"/>
      <c r="DH102" s="24"/>
      <c r="DI102" s="24"/>
      <c r="DJ102" s="24"/>
      <c r="DK102" s="24"/>
      <c r="DL102" s="24"/>
      <c r="DM102" s="24"/>
      <c r="DN102" s="24"/>
      <c r="DO102" s="24"/>
      <c r="DP102" s="24"/>
      <c r="DQ102" s="24"/>
      <c r="DR102" s="24"/>
      <c r="DS102" s="24"/>
      <c r="DT102" s="24"/>
      <c r="DU102" s="24"/>
      <c r="DV102" s="24"/>
      <c r="DW102" s="24"/>
      <c r="DX102" s="24"/>
      <c r="DY102" s="24"/>
      <c r="DZ102" s="24"/>
      <c r="EA102" s="24"/>
      <c r="EB102" s="24"/>
      <c r="EC102" s="24"/>
      <c r="ED102" s="24"/>
      <c r="EE102" s="24"/>
      <c r="EF102" s="24"/>
      <c r="EG102" s="24"/>
      <c r="EH102" s="24"/>
      <c r="EI102" s="24"/>
      <c r="EJ102" s="24"/>
      <c r="EK102" s="24"/>
      <c r="EL102" s="24"/>
      <c r="EM102" s="24"/>
      <c r="EN102" s="24"/>
      <c r="EO102" s="24"/>
      <c r="EP102" s="24"/>
      <c r="EQ102" s="24"/>
      <c r="ER102" s="24"/>
      <c r="ES102" s="24"/>
      <c r="ET102" s="24"/>
      <c r="EU102" s="24"/>
      <c r="EV102" s="24"/>
      <c r="EW102" s="24"/>
      <c r="EX102" s="24"/>
      <c r="EY102" s="24"/>
      <c r="EZ102" s="24"/>
      <c r="FA102" s="24"/>
      <c r="FB102" s="24"/>
      <c r="FC102" s="24"/>
      <c r="FD102" s="24"/>
      <c r="FE102" s="24"/>
      <c r="FF102" s="24"/>
      <c r="FG102" s="24"/>
      <c r="FH102" s="24"/>
      <c r="FI102" s="24"/>
      <c r="FJ102" s="24"/>
      <c r="FK102" s="24"/>
      <c r="FL102" s="24"/>
    </row>
    <row r="103" spans="1:168" ht="15.75" customHeight="1">
      <c r="A103" s="176"/>
      <c r="B103" s="177"/>
      <c r="C103" s="177"/>
      <c r="D103" s="177"/>
      <c r="E103" s="177"/>
      <c r="F103" s="177"/>
      <c r="G103" s="178"/>
      <c r="H103" s="179"/>
      <c r="J103" s="185"/>
      <c r="O103" s="182"/>
      <c r="P103" s="182"/>
      <c r="Q103" s="1"/>
      <c r="AC103" s="180"/>
      <c r="AD103" s="180"/>
      <c r="AE103" s="180"/>
      <c r="AJ103" s="191"/>
      <c r="BS103" s="181"/>
      <c r="CC103" s="24"/>
      <c r="CD103" s="24"/>
      <c r="CE103" s="24"/>
      <c r="CF103" s="24"/>
      <c r="CG103" s="24"/>
      <c r="CH103" s="24"/>
      <c r="CI103" s="24"/>
      <c r="CJ103" s="24"/>
      <c r="DE103" s="24"/>
      <c r="DF103" s="24"/>
      <c r="DG103" s="24"/>
      <c r="DH103" s="24"/>
      <c r="DI103" s="24"/>
      <c r="DJ103" s="24"/>
      <c r="DK103" s="24"/>
      <c r="DL103" s="24"/>
      <c r="DM103" s="24"/>
      <c r="DN103" s="24"/>
      <c r="DO103" s="24"/>
      <c r="DP103" s="24"/>
      <c r="DQ103" s="24"/>
      <c r="DR103" s="24"/>
      <c r="DS103" s="24"/>
      <c r="DT103" s="24"/>
      <c r="DU103" s="24"/>
      <c r="DV103" s="24"/>
      <c r="DW103" s="24"/>
      <c r="DX103" s="24"/>
      <c r="DY103" s="24"/>
      <c r="DZ103" s="24"/>
      <c r="EA103" s="24"/>
      <c r="EB103" s="24"/>
      <c r="EC103" s="24"/>
      <c r="ED103" s="24"/>
      <c r="EE103" s="24"/>
      <c r="EF103" s="24"/>
      <c r="EG103" s="24"/>
      <c r="EH103" s="24"/>
      <c r="EI103" s="24"/>
      <c r="EJ103" s="24"/>
      <c r="EK103" s="24"/>
      <c r="EL103" s="24"/>
      <c r="EM103" s="24"/>
      <c r="EN103" s="24"/>
      <c r="EO103" s="24"/>
      <c r="EP103" s="24"/>
      <c r="EQ103" s="24"/>
      <c r="ER103" s="24"/>
      <c r="ES103" s="24"/>
      <c r="ET103" s="24"/>
      <c r="EU103" s="24"/>
      <c r="EV103" s="24"/>
      <c r="EW103" s="24"/>
      <c r="EX103" s="24"/>
      <c r="EY103" s="24"/>
      <c r="EZ103" s="24"/>
      <c r="FA103" s="24"/>
      <c r="FB103" s="24"/>
      <c r="FC103" s="24"/>
      <c r="FD103" s="24"/>
      <c r="FE103" s="24"/>
      <c r="FF103" s="24"/>
      <c r="FG103" s="24"/>
      <c r="FH103" s="24"/>
      <c r="FI103" s="24"/>
      <c r="FJ103" s="24"/>
      <c r="FK103" s="24"/>
      <c r="FL103" s="24"/>
    </row>
    <row r="104" spans="1:168" ht="15.75" customHeight="1">
      <c r="A104" s="176"/>
      <c r="B104" s="177"/>
      <c r="C104" s="177"/>
      <c r="D104" s="177"/>
      <c r="E104" s="177"/>
      <c r="F104" s="177"/>
      <c r="G104" s="178"/>
      <c r="H104" s="179"/>
      <c r="J104" s="185"/>
      <c r="O104" s="182"/>
      <c r="P104" s="182"/>
      <c r="Q104" s="1"/>
      <c r="AC104" s="180"/>
      <c r="AD104" s="180"/>
      <c r="AE104" s="180"/>
      <c r="AJ104" s="191"/>
      <c r="BS104" s="181"/>
      <c r="CC104" s="24"/>
      <c r="CD104" s="24"/>
      <c r="CE104" s="24"/>
      <c r="CF104" s="24"/>
      <c r="CG104" s="24"/>
      <c r="CH104" s="24"/>
      <c r="CI104" s="24"/>
      <c r="CJ104" s="24"/>
      <c r="DE104" s="24"/>
      <c r="DF104" s="24"/>
      <c r="DG104" s="24"/>
      <c r="DH104" s="24"/>
      <c r="DI104" s="24"/>
      <c r="DJ104" s="24"/>
      <c r="DK104" s="24"/>
      <c r="DL104" s="24"/>
      <c r="DM104" s="24"/>
      <c r="DN104" s="24"/>
      <c r="DO104" s="24"/>
      <c r="DP104" s="24"/>
      <c r="DQ104" s="24"/>
      <c r="DR104" s="24"/>
      <c r="DS104" s="24"/>
      <c r="DT104" s="24"/>
      <c r="DU104" s="24"/>
      <c r="DV104" s="24"/>
      <c r="DW104" s="24"/>
      <c r="DX104" s="24"/>
      <c r="DY104" s="24"/>
      <c r="DZ104" s="24"/>
      <c r="EA104" s="24"/>
      <c r="EB104" s="24"/>
      <c r="EC104" s="24"/>
      <c r="ED104" s="24"/>
      <c r="EE104" s="24"/>
      <c r="EF104" s="24"/>
      <c r="EG104" s="24"/>
      <c r="EH104" s="24"/>
      <c r="EI104" s="24"/>
      <c r="EJ104" s="24"/>
      <c r="EK104" s="24"/>
      <c r="EL104" s="24"/>
      <c r="EM104" s="24"/>
      <c r="EN104" s="24"/>
      <c r="EO104" s="24"/>
      <c r="EP104" s="24"/>
      <c r="EQ104" s="24"/>
      <c r="ER104" s="24"/>
      <c r="ES104" s="24"/>
      <c r="ET104" s="24"/>
      <c r="EU104" s="24"/>
      <c r="EV104" s="24"/>
      <c r="EW104" s="24"/>
      <c r="EX104" s="24"/>
      <c r="EY104" s="24"/>
      <c r="EZ104" s="24"/>
      <c r="FA104" s="24"/>
      <c r="FB104" s="24"/>
      <c r="FC104" s="24"/>
      <c r="FD104" s="24"/>
      <c r="FE104" s="24"/>
      <c r="FF104" s="24"/>
      <c r="FG104" s="24"/>
      <c r="FH104" s="24"/>
      <c r="FI104" s="24"/>
      <c r="FJ104" s="24"/>
      <c r="FK104" s="24"/>
      <c r="FL104" s="24"/>
    </row>
    <row r="105" spans="1:168" ht="15.75" customHeight="1">
      <c r="A105" s="176"/>
      <c r="B105" s="177"/>
      <c r="C105" s="177"/>
      <c r="D105" s="177"/>
      <c r="E105" s="177"/>
      <c r="F105" s="177"/>
      <c r="G105" s="178"/>
      <c r="H105" s="179"/>
      <c r="J105" s="185"/>
      <c r="O105" s="182"/>
      <c r="P105" s="182"/>
      <c r="Q105" s="1"/>
      <c r="AC105" s="180"/>
      <c r="AD105" s="180"/>
      <c r="AE105" s="180"/>
      <c r="AJ105" s="191"/>
      <c r="BS105" s="181"/>
      <c r="CC105" s="24"/>
      <c r="CD105" s="24"/>
      <c r="CE105" s="24"/>
      <c r="CF105" s="24"/>
      <c r="CG105" s="24"/>
      <c r="CH105" s="24"/>
      <c r="CI105" s="24"/>
      <c r="CJ105" s="24"/>
      <c r="DE105" s="24"/>
      <c r="DF105" s="24"/>
      <c r="DG105" s="24"/>
      <c r="DH105" s="24"/>
      <c r="DI105" s="24"/>
      <c r="DJ105" s="24"/>
      <c r="DK105" s="24"/>
      <c r="DL105" s="24"/>
      <c r="DM105" s="24"/>
      <c r="DN105" s="24"/>
      <c r="DO105" s="24"/>
      <c r="DP105" s="24"/>
      <c r="DQ105" s="24"/>
      <c r="DR105" s="24"/>
      <c r="DS105" s="24"/>
      <c r="DT105" s="24"/>
      <c r="DU105" s="24"/>
      <c r="DV105" s="24"/>
      <c r="DW105" s="24"/>
      <c r="DX105" s="24"/>
      <c r="DY105" s="24"/>
      <c r="DZ105" s="24"/>
      <c r="EA105" s="24"/>
      <c r="EB105" s="24"/>
      <c r="EC105" s="24"/>
      <c r="ED105" s="24"/>
      <c r="EE105" s="24"/>
      <c r="EF105" s="24"/>
      <c r="EG105" s="24"/>
      <c r="EH105" s="24"/>
      <c r="EI105" s="24"/>
      <c r="EJ105" s="24"/>
      <c r="EK105" s="24"/>
      <c r="EL105" s="24"/>
      <c r="EM105" s="24"/>
      <c r="EN105" s="24"/>
      <c r="EO105" s="24"/>
      <c r="EP105" s="24"/>
      <c r="EQ105" s="24"/>
      <c r="ER105" s="24"/>
      <c r="ES105" s="24"/>
      <c r="ET105" s="24"/>
      <c r="EU105" s="24"/>
      <c r="EV105" s="24"/>
      <c r="EW105" s="24"/>
      <c r="EX105" s="24"/>
      <c r="EY105" s="24"/>
      <c r="EZ105" s="24"/>
      <c r="FA105" s="24"/>
      <c r="FB105" s="24"/>
      <c r="FC105" s="24"/>
      <c r="FD105" s="24"/>
      <c r="FE105" s="24"/>
      <c r="FF105" s="24"/>
      <c r="FG105" s="24"/>
      <c r="FH105" s="24"/>
      <c r="FI105" s="24"/>
      <c r="FJ105" s="24"/>
      <c r="FK105" s="24"/>
      <c r="FL105" s="24"/>
    </row>
    <row r="106" spans="1:168" ht="15.75" customHeight="1">
      <c r="A106" s="176"/>
      <c r="B106" s="177"/>
      <c r="C106" s="177"/>
      <c r="D106" s="177"/>
      <c r="E106" s="177"/>
      <c r="F106" s="177"/>
      <c r="G106" s="178"/>
      <c r="H106" s="179"/>
      <c r="J106" s="185"/>
      <c r="O106" s="182"/>
      <c r="P106" s="182"/>
      <c r="Q106" s="1"/>
      <c r="AC106" s="180"/>
      <c r="AD106" s="180"/>
      <c r="AE106" s="180"/>
      <c r="AJ106" s="191"/>
      <c r="BS106" s="181"/>
      <c r="CC106" s="24"/>
      <c r="CD106" s="24"/>
      <c r="CE106" s="24"/>
      <c r="CF106" s="24"/>
      <c r="CG106" s="24"/>
      <c r="CH106" s="24"/>
      <c r="CI106" s="24"/>
      <c r="CJ106" s="24"/>
      <c r="DE106" s="24"/>
      <c r="DF106" s="24"/>
      <c r="DG106" s="24"/>
      <c r="DH106" s="24"/>
      <c r="DI106" s="24"/>
      <c r="DJ106" s="24"/>
      <c r="DK106" s="24"/>
      <c r="DL106" s="24"/>
      <c r="DM106" s="24"/>
      <c r="DN106" s="24"/>
      <c r="DO106" s="24"/>
      <c r="DP106" s="24"/>
      <c r="DQ106" s="24"/>
      <c r="DR106" s="24"/>
      <c r="DS106" s="24"/>
      <c r="DT106" s="24"/>
      <c r="DU106" s="24"/>
      <c r="DV106" s="24"/>
      <c r="DW106" s="24"/>
      <c r="DX106" s="24"/>
      <c r="DY106" s="24"/>
      <c r="DZ106" s="24"/>
      <c r="EA106" s="24"/>
      <c r="EB106" s="24"/>
      <c r="EC106" s="24"/>
      <c r="ED106" s="24"/>
      <c r="EE106" s="24"/>
      <c r="EF106" s="24"/>
      <c r="EG106" s="24"/>
      <c r="EH106" s="24"/>
      <c r="EI106" s="24"/>
      <c r="EJ106" s="24"/>
      <c r="EK106" s="24"/>
      <c r="EL106" s="24"/>
      <c r="EM106" s="24"/>
      <c r="EN106" s="24"/>
      <c r="EO106" s="24"/>
      <c r="EP106" s="24"/>
      <c r="EQ106" s="24"/>
      <c r="ER106" s="24"/>
      <c r="ES106" s="24"/>
      <c r="ET106" s="24"/>
      <c r="EU106" s="24"/>
      <c r="EV106" s="24"/>
      <c r="EW106" s="24"/>
      <c r="EX106" s="24"/>
      <c r="EY106" s="24"/>
      <c r="EZ106" s="24"/>
      <c r="FA106" s="24"/>
      <c r="FB106" s="24"/>
      <c r="FC106" s="24"/>
      <c r="FD106" s="24"/>
      <c r="FE106" s="24"/>
      <c r="FF106" s="24"/>
      <c r="FG106" s="24"/>
      <c r="FH106" s="24"/>
      <c r="FI106" s="24"/>
      <c r="FJ106" s="24"/>
      <c r="FK106" s="24"/>
      <c r="FL106" s="24"/>
    </row>
    <row r="107" spans="1:168" ht="15.75" customHeight="1">
      <c r="A107" s="176"/>
      <c r="B107" s="177"/>
      <c r="C107" s="177"/>
      <c r="D107" s="177"/>
      <c r="E107" s="177"/>
      <c r="F107" s="177"/>
      <c r="G107" s="178"/>
      <c r="H107" s="179"/>
      <c r="J107" s="185"/>
      <c r="O107" s="182"/>
      <c r="P107" s="182"/>
      <c r="Q107" s="1"/>
      <c r="AC107" s="180"/>
      <c r="AD107" s="180"/>
      <c r="AE107" s="180"/>
      <c r="AJ107" s="191"/>
      <c r="BS107" s="181"/>
      <c r="CC107" s="24"/>
      <c r="CD107" s="24"/>
      <c r="CE107" s="24"/>
      <c r="CF107" s="24"/>
      <c r="CG107" s="24"/>
      <c r="CH107" s="24"/>
      <c r="CI107" s="24"/>
      <c r="CJ107" s="24"/>
      <c r="DE107" s="24"/>
      <c r="DF107" s="24"/>
      <c r="DG107" s="24"/>
      <c r="DH107" s="24"/>
      <c r="DI107" s="24"/>
      <c r="DJ107" s="24"/>
      <c r="DK107" s="24"/>
      <c r="DL107" s="24"/>
      <c r="DM107" s="24"/>
      <c r="DN107" s="24"/>
      <c r="DO107" s="24"/>
      <c r="DP107" s="24"/>
      <c r="DQ107" s="24"/>
      <c r="DR107" s="24"/>
      <c r="DS107" s="24"/>
      <c r="DT107" s="24"/>
      <c r="DU107" s="24"/>
      <c r="DV107" s="24"/>
      <c r="DW107" s="24"/>
      <c r="DX107" s="24"/>
      <c r="DY107" s="24"/>
      <c r="DZ107" s="24"/>
      <c r="EA107" s="24"/>
      <c r="EB107" s="24"/>
      <c r="EC107" s="24"/>
      <c r="ED107" s="24"/>
      <c r="EE107" s="24"/>
      <c r="EF107" s="24"/>
      <c r="EG107" s="24"/>
      <c r="EH107" s="24"/>
      <c r="EI107" s="24"/>
      <c r="EJ107" s="24"/>
      <c r="EK107" s="24"/>
      <c r="EL107" s="24"/>
      <c r="EM107" s="24"/>
      <c r="EN107" s="24"/>
      <c r="EO107" s="24"/>
      <c r="EP107" s="24"/>
      <c r="EQ107" s="24"/>
      <c r="ER107" s="24"/>
      <c r="ES107" s="24"/>
      <c r="ET107" s="24"/>
      <c r="EU107" s="24"/>
      <c r="EV107" s="24"/>
      <c r="EW107" s="24"/>
      <c r="EX107" s="24"/>
      <c r="EY107" s="24"/>
      <c r="EZ107" s="24"/>
      <c r="FA107" s="24"/>
      <c r="FB107" s="24"/>
      <c r="FC107" s="24"/>
      <c r="FD107" s="24"/>
      <c r="FE107" s="24"/>
      <c r="FF107" s="24"/>
      <c r="FG107" s="24"/>
      <c r="FH107" s="24"/>
      <c r="FI107" s="24"/>
      <c r="FJ107" s="24"/>
      <c r="FK107" s="24"/>
      <c r="FL107" s="24"/>
    </row>
    <row r="108" spans="1:168" ht="15.75" customHeight="1">
      <c r="A108" s="176"/>
      <c r="B108" s="177"/>
      <c r="C108" s="177"/>
      <c r="D108" s="177"/>
      <c r="E108" s="177"/>
      <c r="F108" s="177"/>
      <c r="G108" s="178"/>
      <c r="H108" s="179"/>
      <c r="J108" s="185"/>
      <c r="O108" s="182"/>
      <c r="P108" s="182"/>
      <c r="Q108" s="1"/>
      <c r="AC108" s="180"/>
      <c r="AD108" s="180"/>
      <c r="AE108" s="180"/>
      <c r="AJ108" s="191"/>
      <c r="BS108" s="181"/>
      <c r="CC108" s="24"/>
      <c r="CD108" s="24"/>
      <c r="CE108" s="24"/>
      <c r="CF108" s="24"/>
      <c r="CG108" s="24"/>
      <c r="CH108" s="24"/>
      <c r="CI108" s="24"/>
      <c r="CJ108" s="24"/>
      <c r="DE108" s="24"/>
      <c r="DF108" s="24"/>
      <c r="DG108" s="24"/>
      <c r="DH108" s="24"/>
      <c r="DI108" s="24"/>
      <c r="DJ108" s="24"/>
      <c r="DK108" s="24"/>
      <c r="DL108" s="24"/>
      <c r="DM108" s="24"/>
      <c r="DN108" s="24"/>
      <c r="DO108" s="24"/>
      <c r="DP108" s="24"/>
      <c r="DQ108" s="24"/>
      <c r="DR108" s="24"/>
      <c r="DS108" s="24"/>
      <c r="DT108" s="24"/>
      <c r="DU108" s="24"/>
      <c r="DV108" s="24"/>
      <c r="DW108" s="24"/>
      <c r="DX108" s="24"/>
      <c r="DY108" s="24"/>
      <c r="DZ108" s="24"/>
      <c r="EA108" s="24"/>
      <c r="EB108" s="24"/>
      <c r="EC108" s="24"/>
      <c r="ED108" s="24"/>
      <c r="EE108" s="24"/>
      <c r="EF108" s="24"/>
      <c r="EG108" s="24"/>
      <c r="EH108" s="24"/>
      <c r="EI108" s="24"/>
      <c r="EJ108" s="24"/>
      <c r="EK108" s="24"/>
      <c r="EL108" s="24"/>
      <c r="EM108" s="24"/>
      <c r="EN108" s="24"/>
      <c r="EO108" s="24"/>
      <c r="EP108" s="24"/>
      <c r="EQ108" s="24"/>
      <c r="ER108" s="24"/>
      <c r="ES108" s="24"/>
      <c r="ET108" s="24"/>
      <c r="EU108" s="24"/>
      <c r="EV108" s="24"/>
      <c r="EW108" s="24"/>
      <c r="EX108" s="24"/>
      <c r="EY108" s="24"/>
      <c r="EZ108" s="24"/>
      <c r="FA108" s="24"/>
      <c r="FB108" s="24"/>
      <c r="FC108" s="24"/>
      <c r="FD108" s="24"/>
      <c r="FE108" s="24"/>
      <c r="FF108" s="24"/>
      <c r="FG108" s="24"/>
      <c r="FH108" s="24"/>
      <c r="FI108" s="24"/>
      <c r="FJ108" s="24"/>
      <c r="FK108" s="24"/>
      <c r="FL108" s="24"/>
    </row>
    <row r="109" spans="1:168" ht="15.75" customHeight="1">
      <c r="A109" s="176"/>
      <c r="B109" s="177"/>
      <c r="C109" s="177"/>
      <c r="D109" s="177"/>
      <c r="E109" s="177"/>
      <c r="F109" s="177"/>
      <c r="G109" s="178"/>
      <c r="H109" s="179"/>
      <c r="J109" s="185"/>
      <c r="O109" s="182"/>
      <c r="P109" s="182"/>
      <c r="Q109" s="1"/>
      <c r="AC109" s="180"/>
      <c r="AD109" s="180"/>
      <c r="AE109" s="180"/>
      <c r="AJ109" s="191"/>
      <c r="BS109" s="181"/>
      <c r="CC109" s="24"/>
      <c r="CD109" s="24"/>
      <c r="CE109" s="24"/>
      <c r="CF109" s="24"/>
      <c r="CG109" s="24"/>
      <c r="CH109" s="24"/>
      <c r="CI109" s="24"/>
      <c r="CJ109" s="24"/>
      <c r="DE109" s="24"/>
      <c r="DF109" s="24"/>
      <c r="DG109" s="24"/>
      <c r="DH109" s="24"/>
      <c r="DI109" s="24"/>
      <c r="DJ109" s="24"/>
      <c r="DK109" s="24"/>
      <c r="DL109" s="24"/>
      <c r="DM109" s="24"/>
      <c r="DN109" s="24"/>
      <c r="DO109" s="24"/>
      <c r="DP109" s="24"/>
      <c r="DQ109" s="24"/>
      <c r="DR109" s="24"/>
      <c r="DS109" s="24"/>
      <c r="DT109" s="24"/>
      <c r="DU109" s="24"/>
      <c r="DV109" s="24"/>
      <c r="DW109" s="24"/>
      <c r="DX109" s="24"/>
      <c r="DY109" s="24"/>
      <c r="DZ109" s="24"/>
      <c r="EA109" s="24"/>
      <c r="EB109" s="24"/>
      <c r="EC109" s="24"/>
      <c r="ED109" s="24"/>
      <c r="EE109" s="24"/>
      <c r="EF109" s="24"/>
      <c r="EG109" s="24"/>
      <c r="EH109" s="24"/>
      <c r="EI109" s="24"/>
      <c r="EJ109" s="24"/>
      <c r="EK109" s="24"/>
      <c r="EL109" s="24"/>
      <c r="EM109" s="24"/>
      <c r="EN109" s="24"/>
      <c r="EO109" s="24"/>
      <c r="EP109" s="24"/>
      <c r="EQ109" s="24"/>
      <c r="ER109" s="24"/>
      <c r="ES109" s="24"/>
      <c r="ET109" s="24"/>
      <c r="EU109" s="24"/>
      <c r="EV109" s="24"/>
      <c r="EW109" s="24"/>
      <c r="EX109" s="24"/>
      <c r="EY109" s="24"/>
      <c r="EZ109" s="24"/>
      <c r="FA109" s="24"/>
      <c r="FB109" s="24"/>
      <c r="FC109" s="24"/>
      <c r="FD109" s="24"/>
      <c r="FE109" s="24"/>
      <c r="FF109" s="24"/>
      <c r="FG109" s="24"/>
      <c r="FH109" s="24"/>
      <c r="FI109" s="24"/>
      <c r="FJ109" s="24"/>
      <c r="FK109" s="24"/>
      <c r="FL109" s="24"/>
    </row>
    <row r="110" spans="1:168" ht="15.75" customHeight="1">
      <c r="A110" s="176"/>
      <c r="B110" s="177"/>
      <c r="C110" s="177"/>
      <c r="D110" s="177"/>
      <c r="E110" s="177"/>
      <c r="F110" s="177"/>
      <c r="G110" s="178"/>
      <c r="H110" s="179"/>
      <c r="J110" s="185"/>
      <c r="O110" s="182"/>
      <c r="P110" s="182"/>
      <c r="Q110" s="1"/>
      <c r="AC110" s="180"/>
      <c r="AD110" s="180"/>
      <c r="AE110" s="180"/>
      <c r="AJ110" s="191"/>
      <c r="BS110" s="181"/>
      <c r="CC110" s="24"/>
      <c r="CD110" s="24"/>
      <c r="CE110" s="24"/>
      <c r="CF110" s="24"/>
      <c r="CG110" s="24"/>
      <c r="CH110" s="24"/>
      <c r="CI110" s="24"/>
      <c r="CJ110" s="24"/>
      <c r="DE110" s="24"/>
      <c r="DF110" s="24"/>
      <c r="DG110" s="24"/>
      <c r="DH110" s="24"/>
      <c r="DI110" s="24"/>
      <c r="DJ110" s="24"/>
      <c r="DK110" s="24"/>
      <c r="DL110" s="24"/>
      <c r="DM110" s="24"/>
      <c r="DN110" s="24"/>
      <c r="DO110" s="24"/>
      <c r="DP110" s="24"/>
      <c r="DQ110" s="24"/>
      <c r="DR110" s="24"/>
      <c r="DS110" s="24"/>
      <c r="DT110" s="24"/>
      <c r="DU110" s="24"/>
      <c r="DV110" s="24"/>
      <c r="DW110" s="24"/>
      <c r="DX110" s="24"/>
      <c r="DY110" s="24"/>
      <c r="DZ110" s="24"/>
      <c r="EA110" s="24"/>
      <c r="EB110" s="24"/>
      <c r="EC110" s="24"/>
      <c r="ED110" s="24"/>
      <c r="EE110" s="24"/>
      <c r="EF110" s="24"/>
      <c r="EG110" s="24"/>
      <c r="EH110" s="24"/>
      <c r="EI110" s="24"/>
      <c r="EJ110" s="24"/>
      <c r="EK110" s="24"/>
      <c r="EL110" s="24"/>
      <c r="EM110" s="24"/>
      <c r="EN110" s="24"/>
      <c r="EO110" s="24"/>
      <c r="EP110" s="24"/>
      <c r="EQ110" s="24"/>
      <c r="ER110" s="24"/>
      <c r="ES110" s="24"/>
      <c r="ET110" s="24"/>
      <c r="EU110" s="24"/>
      <c r="EV110" s="24"/>
      <c r="EW110" s="24"/>
      <c r="EX110" s="24"/>
      <c r="EY110" s="24"/>
      <c r="EZ110" s="24"/>
      <c r="FA110" s="24"/>
      <c r="FB110" s="24"/>
      <c r="FC110" s="24"/>
      <c r="FD110" s="24"/>
      <c r="FE110" s="24"/>
      <c r="FF110" s="24"/>
      <c r="FG110" s="24"/>
      <c r="FH110" s="24"/>
      <c r="FI110" s="24"/>
      <c r="FJ110" s="24"/>
      <c r="FK110" s="24"/>
      <c r="FL110" s="24"/>
    </row>
    <row r="111" spans="1:168" ht="15.75" customHeight="1">
      <c r="A111" s="176"/>
      <c r="B111" s="177"/>
      <c r="C111" s="177"/>
      <c r="D111" s="177"/>
      <c r="E111" s="177"/>
      <c r="F111" s="177"/>
      <c r="G111" s="178"/>
      <c r="H111" s="179"/>
      <c r="J111" s="185"/>
      <c r="O111" s="182"/>
      <c r="P111" s="182"/>
      <c r="Q111" s="1"/>
      <c r="AC111" s="180"/>
      <c r="AD111" s="180"/>
      <c r="AE111" s="180"/>
      <c r="AJ111" s="191"/>
      <c r="BS111" s="181"/>
      <c r="CC111" s="24"/>
      <c r="CD111" s="24"/>
      <c r="CE111" s="24"/>
      <c r="CF111" s="24"/>
      <c r="CG111" s="24"/>
      <c r="CH111" s="24"/>
      <c r="CI111" s="24"/>
      <c r="CJ111" s="24"/>
      <c r="DE111" s="24"/>
      <c r="DF111" s="24"/>
      <c r="DG111" s="24"/>
      <c r="DH111" s="24"/>
      <c r="DI111" s="24"/>
      <c r="DJ111" s="24"/>
      <c r="DK111" s="24"/>
      <c r="DL111" s="24"/>
      <c r="DM111" s="24"/>
      <c r="DN111" s="24"/>
      <c r="DO111" s="24"/>
      <c r="DP111" s="24"/>
      <c r="DQ111" s="24"/>
      <c r="DR111" s="24"/>
      <c r="DS111" s="24"/>
      <c r="DT111" s="24"/>
      <c r="DU111" s="24"/>
      <c r="DV111" s="24"/>
      <c r="DW111" s="24"/>
      <c r="DX111" s="24"/>
      <c r="DY111" s="24"/>
      <c r="DZ111" s="24"/>
      <c r="EA111" s="24"/>
      <c r="EB111" s="24"/>
      <c r="EC111" s="24"/>
      <c r="ED111" s="24"/>
      <c r="EE111" s="24"/>
      <c r="EF111" s="24"/>
      <c r="EG111" s="24"/>
      <c r="EH111" s="24"/>
      <c r="EI111" s="24"/>
      <c r="EJ111" s="24"/>
      <c r="EK111" s="24"/>
      <c r="EL111" s="24"/>
      <c r="EM111" s="24"/>
      <c r="EN111" s="24"/>
      <c r="EO111" s="24"/>
      <c r="EP111" s="24"/>
      <c r="EQ111" s="24"/>
      <c r="ER111" s="24"/>
      <c r="ES111" s="24"/>
      <c r="ET111" s="24"/>
      <c r="EU111" s="24"/>
      <c r="EV111" s="24"/>
      <c r="EW111" s="24"/>
      <c r="EX111" s="24"/>
      <c r="EY111" s="24"/>
      <c r="EZ111" s="24"/>
      <c r="FA111" s="24"/>
      <c r="FB111" s="24"/>
      <c r="FC111" s="24"/>
      <c r="FD111" s="24"/>
      <c r="FE111" s="24"/>
      <c r="FF111" s="24"/>
      <c r="FG111" s="24"/>
      <c r="FH111" s="24"/>
      <c r="FI111" s="24"/>
      <c r="FJ111" s="24"/>
      <c r="FK111" s="24"/>
      <c r="FL111" s="24"/>
    </row>
    <row r="112" spans="1:168" ht="15.75" customHeight="1">
      <c r="A112" s="176"/>
      <c r="B112" s="177"/>
      <c r="C112" s="177"/>
      <c r="D112" s="177"/>
      <c r="E112" s="177"/>
      <c r="F112" s="177"/>
      <c r="G112" s="178"/>
      <c r="H112" s="179"/>
      <c r="J112" s="185"/>
      <c r="O112" s="182"/>
      <c r="P112" s="182"/>
      <c r="Q112" s="1"/>
      <c r="AC112" s="180"/>
      <c r="AD112" s="180"/>
      <c r="AE112" s="180"/>
      <c r="AJ112" s="191"/>
      <c r="BS112" s="181"/>
      <c r="CC112" s="24"/>
      <c r="CD112" s="24"/>
      <c r="CE112" s="24"/>
      <c r="CF112" s="24"/>
      <c r="CG112" s="24"/>
      <c r="CH112" s="24"/>
      <c r="CI112" s="24"/>
      <c r="CJ112" s="24"/>
      <c r="DE112" s="24"/>
      <c r="DF112" s="24"/>
      <c r="DG112" s="24"/>
      <c r="DH112" s="24"/>
      <c r="DI112" s="24"/>
      <c r="DJ112" s="24"/>
      <c r="DK112" s="24"/>
      <c r="DL112" s="24"/>
      <c r="DM112" s="24"/>
      <c r="DN112" s="24"/>
      <c r="DO112" s="24"/>
      <c r="DP112" s="24"/>
      <c r="DQ112" s="24"/>
      <c r="DR112" s="24"/>
      <c r="DS112" s="24"/>
      <c r="DT112" s="24"/>
      <c r="DU112" s="24"/>
      <c r="DV112" s="24"/>
      <c r="DW112" s="24"/>
      <c r="DX112" s="24"/>
      <c r="DY112" s="24"/>
      <c r="DZ112" s="24"/>
      <c r="EA112" s="24"/>
      <c r="EB112" s="24"/>
      <c r="EC112" s="24"/>
      <c r="ED112" s="24"/>
      <c r="EE112" s="24"/>
      <c r="EF112" s="24"/>
      <c r="EG112" s="24"/>
      <c r="EH112" s="24"/>
      <c r="EI112" s="24"/>
      <c r="EJ112" s="24"/>
      <c r="EK112" s="24"/>
      <c r="EL112" s="24"/>
      <c r="EM112" s="24"/>
      <c r="EN112" s="24"/>
      <c r="EO112" s="24"/>
      <c r="EP112" s="24"/>
      <c r="EQ112" s="24"/>
      <c r="ER112" s="24"/>
      <c r="ES112" s="24"/>
      <c r="ET112" s="24"/>
      <c r="EU112" s="24"/>
      <c r="EV112" s="24"/>
      <c r="EW112" s="24"/>
      <c r="EX112" s="24"/>
      <c r="EY112" s="24"/>
      <c r="EZ112" s="24"/>
      <c r="FA112" s="24"/>
      <c r="FB112" s="24"/>
      <c r="FC112" s="24"/>
      <c r="FD112" s="24"/>
      <c r="FE112" s="24"/>
      <c r="FF112" s="24"/>
      <c r="FG112" s="24"/>
      <c r="FH112" s="24"/>
      <c r="FI112" s="24"/>
      <c r="FJ112" s="24"/>
      <c r="FK112" s="24"/>
      <c r="FL112" s="24"/>
    </row>
    <row r="113" spans="1:168" ht="15.75" customHeight="1">
      <c r="A113" s="176"/>
      <c r="B113" s="177"/>
      <c r="C113" s="177"/>
      <c r="D113" s="177"/>
      <c r="E113" s="177"/>
      <c r="F113" s="177"/>
      <c r="G113" s="178"/>
      <c r="H113" s="179"/>
      <c r="J113" s="185"/>
      <c r="O113" s="182"/>
      <c r="P113" s="182"/>
      <c r="Q113" s="1"/>
      <c r="AC113" s="180"/>
      <c r="AD113" s="180"/>
      <c r="AE113" s="180"/>
      <c r="AJ113" s="191"/>
      <c r="BS113" s="181"/>
      <c r="CC113" s="24"/>
      <c r="CD113" s="24"/>
      <c r="CE113" s="24"/>
      <c r="CF113" s="24"/>
      <c r="CG113" s="24"/>
      <c r="CH113" s="24"/>
      <c r="CI113" s="24"/>
      <c r="CJ113" s="24"/>
      <c r="DE113" s="24"/>
      <c r="DF113" s="24"/>
      <c r="DG113" s="24"/>
      <c r="DH113" s="24"/>
      <c r="DI113" s="24"/>
      <c r="DJ113" s="24"/>
      <c r="DK113" s="24"/>
      <c r="DL113" s="24"/>
      <c r="DM113" s="24"/>
      <c r="DN113" s="24"/>
      <c r="DO113" s="24"/>
      <c r="DP113" s="24"/>
      <c r="DQ113" s="24"/>
      <c r="DR113" s="24"/>
      <c r="DS113" s="24"/>
      <c r="DT113" s="24"/>
      <c r="DU113" s="24"/>
      <c r="DV113" s="24"/>
      <c r="DW113" s="24"/>
      <c r="DX113" s="24"/>
      <c r="DY113" s="24"/>
      <c r="DZ113" s="24"/>
      <c r="EA113" s="24"/>
      <c r="EB113" s="24"/>
      <c r="EC113" s="24"/>
      <c r="ED113" s="24"/>
      <c r="EE113" s="24"/>
      <c r="EF113" s="24"/>
      <c r="EG113" s="24"/>
      <c r="EH113" s="24"/>
      <c r="EI113" s="24"/>
      <c r="EJ113" s="24"/>
      <c r="EK113" s="24"/>
      <c r="EL113" s="24"/>
      <c r="EM113" s="24"/>
      <c r="EN113" s="24"/>
      <c r="EO113" s="24"/>
      <c r="EP113" s="24"/>
      <c r="EQ113" s="24"/>
      <c r="ER113" s="24"/>
      <c r="ES113" s="24"/>
      <c r="ET113" s="24"/>
      <c r="EU113" s="24"/>
      <c r="EV113" s="24"/>
      <c r="EW113" s="24"/>
      <c r="EX113" s="24"/>
      <c r="EY113" s="24"/>
      <c r="EZ113" s="24"/>
      <c r="FA113" s="24"/>
      <c r="FB113" s="24"/>
      <c r="FC113" s="24"/>
      <c r="FD113" s="24"/>
      <c r="FE113" s="24"/>
      <c r="FF113" s="24"/>
      <c r="FG113" s="24"/>
      <c r="FH113" s="24"/>
      <c r="FI113" s="24"/>
      <c r="FJ113" s="24"/>
      <c r="FK113" s="24"/>
      <c r="FL113" s="24"/>
    </row>
    <row r="114" spans="1:168" ht="15.75" customHeight="1">
      <c r="A114" s="176"/>
      <c r="B114" s="177"/>
      <c r="C114" s="177"/>
      <c r="D114" s="177"/>
      <c r="E114" s="177"/>
      <c r="F114" s="177"/>
      <c r="G114" s="178"/>
      <c r="H114" s="179"/>
      <c r="J114" s="185"/>
      <c r="O114" s="182"/>
      <c r="P114" s="182"/>
      <c r="Q114" s="1"/>
      <c r="AC114" s="180"/>
      <c r="AD114" s="180"/>
      <c r="AE114" s="180"/>
      <c r="AJ114" s="191"/>
      <c r="BS114" s="181"/>
      <c r="CC114" s="24"/>
      <c r="CD114" s="24"/>
      <c r="CE114" s="24"/>
      <c r="CF114" s="24"/>
      <c r="CG114" s="24"/>
      <c r="CH114" s="24"/>
      <c r="CI114" s="24"/>
      <c r="CJ114" s="24"/>
      <c r="DE114" s="24"/>
      <c r="DF114" s="24"/>
      <c r="DG114" s="24"/>
      <c r="DH114" s="24"/>
      <c r="DI114" s="24"/>
      <c r="DJ114" s="24"/>
      <c r="DK114" s="24"/>
      <c r="DL114" s="24"/>
      <c r="DM114" s="24"/>
      <c r="DN114" s="24"/>
      <c r="DO114" s="24"/>
      <c r="DP114" s="24"/>
      <c r="DQ114" s="24"/>
      <c r="DR114" s="24"/>
      <c r="DS114" s="24"/>
      <c r="DT114" s="24"/>
      <c r="DU114" s="24"/>
      <c r="DV114" s="24"/>
      <c r="DW114" s="24"/>
      <c r="DX114" s="24"/>
      <c r="DY114" s="24"/>
      <c r="DZ114" s="24"/>
      <c r="EA114" s="24"/>
      <c r="EB114" s="24"/>
      <c r="EC114" s="24"/>
      <c r="ED114" s="24"/>
      <c r="EE114" s="24"/>
      <c r="EF114" s="24"/>
      <c r="EG114" s="24"/>
      <c r="EH114" s="24"/>
      <c r="EI114" s="24"/>
      <c r="EJ114" s="24"/>
      <c r="EK114" s="24"/>
      <c r="EL114" s="24"/>
      <c r="EM114" s="24"/>
      <c r="EN114" s="24"/>
      <c r="EO114" s="24"/>
      <c r="EP114" s="24"/>
      <c r="EQ114" s="24"/>
      <c r="ER114" s="24"/>
      <c r="ES114" s="24"/>
      <c r="ET114" s="24"/>
      <c r="EU114" s="24"/>
      <c r="EV114" s="24"/>
      <c r="EW114" s="24"/>
      <c r="EX114" s="24"/>
      <c r="EY114" s="24"/>
      <c r="EZ114" s="24"/>
      <c r="FA114" s="24"/>
      <c r="FB114" s="24"/>
      <c r="FC114" s="24"/>
      <c r="FD114" s="24"/>
      <c r="FE114" s="24"/>
      <c r="FF114" s="24"/>
      <c r="FG114" s="24"/>
      <c r="FH114" s="24"/>
      <c r="FI114" s="24"/>
      <c r="FJ114" s="24"/>
      <c r="FK114" s="24"/>
      <c r="FL114" s="24"/>
    </row>
    <row r="115" spans="1:168" ht="15.75" customHeight="1">
      <c r="A115" s="176"/>
      <c r="B115" s="177"/>
      <c r="C115" s="177"/>
      <c r="D115" s="177"/>
      <c r="E115" s="177"/>
      <c r="F115" s="177"/>
      <c r="G115" s="178"/>
      <c r="H115" s="179"/>
      <c r="J115" s="185"/>
      <c r="O115" s="182"/>
      <c r="P115" s="182"/>
      <c r="Q115" s="1"/>
      <c r="AC115" s="180"/>
      <c r="AD115" s="180"/>
      <c r="AE115" s="180"/>
      <c r="AJ115" s="191"/>
      <c r="BS115" s="181"/>
      <c r="CC115" s="24"/>
      <c r="CD115" s="24"/>
      <c r="CE115" s="24"/>
      <c r="CF115" s="24"/>
      <c r="CG115" s="24"/>
      <c r="CH115" s="24"/>
      <c r="CI115" s="24"/>
      <c r="CJ115" s="24"/>
      <c r="DE115" s="24"/>
      <c r="DF115" s="24"/>
      <c r="DG115" s="24"/>
      <c r="DH115" s="24"/>
      <c r="DI115" s="24"/>
      <c r="DJ115" s="24"/>
      <c r="DK115" s="24"/>
      <c r="DL115" s="24"/>
      <c r="DM115" s="24"/>
      <c r="DN115" s="24"/>
      <c r="DO115" s="24"/>
      <c r="DP115" s="24"/>
      <c r="DQ115" s="24"/>
      <c r="DR115" s="24"/>
      <c r="DS115" s="24"/>
      <c r="DT115" s="24"/>
      <c r="DU115" s="24"/>
      <c r="DV115" s="24"/>
      <c r="DW115" s="24"/>
      <c r="DX115" s="24"/>
      <c r="DY115" s="24"/>
      <c r="DZ115" s="24"/>
      <c r="EA115" s="24"/>
      <c r="EB115" s="24"/>
      <c r="EC115" s="24"/>
      <c r="ED115" s="24"/>
      <c r="EE115" s="24"/>
      <c r="EF115" s="24"/>
      <c r="EG115" s="24"/>
      <c r="EH115" s="24"/>
      <c r="EI115" s="24"/>
      <c r="EJ115" s="24"/>
      <c r="EK115" s="24"/>
      <c r="EL115" s="24"/>
      <c r="EM115" s="24"/>
      <c r="EN115" s="24"/>
      <c r="EO115" s="24"/>
      <c r="EP115" s="24"/>
      <c r="EQ115" s="24"/>
      <c r="ER115" s="24"/>
      <c r="ES115" s="24"/>
      <c r="ET115" s="24"/>
      <c r="EU115" s="24"/>
      <c r="EV115" s="24"/>
      <c r="EW115" s="24"/>
      <c r="EX115" s="24"/>
      <c r="EY115" s="24"/>
      <c r="EZ115" s="24"/>
      <c r="FA115" s="24"/>
      <c r="FB115" s="24"/>
      <c r="FC115" s="24"/>
      <c r="FD115" s="24"/>
      <c r="FE115" s="24"/>
      <c r="FF115" s="24"/>
      <c r="FG115" s="24"/>
      <c r="FH115" s="24"/>
      <c r="FI115" s="24"/>
      <c r="FJ115" s="24"/>
      <c r="FK115" s="24"/>
      <c r="FL115" s="24"/>
    </row>
    <row r="116" spans="1:168" ht="15.75" customHeight="1">
      <c r="A116" s="176"/>
      <c r="B116" s="177"/>
      <c r="C116" s="177"/>
      <c r="D116" s="177"/>
      <c r="E116" s="177"/>
      <c r="F116" s="177"/>
      <c r="G116" s="178"/>
      <c r="H116" s="179"/>
      <c r="J116" s="185"/>
      <c r="O116" s="182"/>
      <c r="P116" s="182"/>
      <c r="Q116" s="1"/>
      <c r="AC116" s="180"/>
      <c r="AD116" s="180"/>
      <c r="AE116" s="180"/>
      <c r="AJ116" s="191"/>
      <c r="BS116" s="181"/>
      <c r="CC116" s="24"/>
      <c r="CD116" s="24"/>
      <c r="CE116" s="24"/>
      <c r="CF116" s="24"/>
      <c r="CG116" s="24"/>
      <c r="CH116" s="24"/>
      <c r="CI116" s="24"/>
      <c r="CJ116" s="24"/>
      <c r="DE116" s="24"/>
      <c r="DF116" s="24"/>
      <c r="DG116" s="24"/>
      <c r="DH116" s="24"/>
      <c r="DI116" s="24"/>
      <c r="DJ116" s="24"/>
      <c r="DK116" s="24"/>
      <c r="DL116" s="24"/>
      <c r="DM116" s="24"/>
      <c r="DN116" s="24"/>
      <c r="DO116" s="24"/>
      <c r="DP116" s="24"/>
      <c r="DQ116" s="24"/>
      <c r="DR116" s="24"/>
      <c r="DS116" s="24"/>
      <c r="DT116" s="24"/>
      <c r="DU116" s="24"/>
      <c r="DV116" s="24"/>
      <c r="DW116" s="24"/>
      <c r="DX116" s="24"/>
      <c r="DY116" s="24"/>
      <c r="DZ116" s="24"/>
      <c r="EA116" s="24"/>
      <c r="EB116" s="24"/>
      <c r="EC116" s="24"/>
      <c r="ED116" s="24"/>
      <c r="EE116" s="24"/>
      <c r="EF116" s="24"/>
      <c r="EG116" s="24"/>
      <c r="EH116" s="24"/>
      <c r="EI116" s="24"/>
      <c r="EJ116" s="24"/>
      <c r="EK116" s="24"/>
      <c r="EL116" s="24"/>
      <c r="EM116" s="24"/>
      <c r="EN116" s="24"/>
      <c r="EO116" s="24"/>
      <c r="EP116" s="24"/>
      <c r="EQ116" s="24"/>
      <c r="ER116" s="24"/>
      <c r="ES116" s="24"/>
      <c r="ET116" s="24"/>
      <c r="EU116" s="24"/>
      <c r="EV116" s="24"/>
      <c r="EW116" s="24"/>
      <c r="EX116" s="24"/>
      <c r="EY116" s="24"/>
      <c r="EZ116" s="24"/>
      <c r="FA116" s="24"/>
      <c r="FB116" s="24"/>
      <c r="FC116" s="24"/>
      <c r="FD116" s="24"/>
      <c r="FE116" s="24"/>
      <c r="FF116" s="24"/>
      <c r="FG116" s="24"/>
      <c r="FH116" s="24"/>
      <c r="FI116" s="24"/>
      <c r="FJ116" s="24"/>
      <c r="FK116" s="24"/>
      <c r="FL116" s="24"/>
    </row>
    <row r="117" spans="1:168" ht="15.75" customHeight="1">
      <c r="A117" s="176"/>
      <c r="B117" s="177"/>
      <c r="C117" s="177"/>
      <c r="D117" s="177"/>
      <c r="E117" s="177"/>
      <c r="F117" s="177"/>
      <c r="G117" s="178"/>
      <c r="H117" s="179"/>
      <c r="J117" s="185"/>
      <c r="O117" s="182"/>
      <c r="P117" s="182"/>
      <c r="Q117" s="1"/>
      <c r="AC117" s="180"/>
      <c r="AD117" s="180"/>
      <c r="AE117" s="180"/>
      <c r="AJ117" s="191"/>
      <c r="BS117" s="181"/>
      <c r="CC117" s="24"/>
      <c r="CD117" s="24"/>
      <c r="CE117" s="24"/>
      <c r="CF117" s="24"/>
      <c r="CG117" s="24"/>
      <c r="CH117" s="24"/>
      <c r="CI117" s="24"/>
      <c r="CJ117" s="24"/>
      <c r="DE117" s="24"/>
      <c r="DF117" s="24"/>
      <c r="DG117" s="24"/>
      <c r="DH117" s="24"/>
      <c r="DI117" s="24"/>
      <c r="DJ117" s="24"/>
      <c r="DK117" s="24"/>
      <c r="DL117" s="24"/>
      <c r="DM117" s="24"/>
      <c r="DN117" s="24"/>
      <c r="DO117" s="24"/>
      <c r="DP117" s="24"/>
      <c r="DQ117" s="24"/>
      <c r="DR117" s="24"/>
      <c r="DS117" s="24"/>
      <c r="DT117" s="24"/>
      <c r="DU117" s="24"/>
      <c r="DV117" s="24"/>
      <c r="DW117" s="24"/>
      <c r="DX117" s="24"/>
      <c r="DY117" s="24"/>
      <c r="DZ117" s="24"/>
      <c r="EA117" s="24"/>
      <c r="EB117" s="24"/>
      <c r="EC117" s="24"/>
      <c r="ED117" s="24"/>
      <c r="EE117" s="24"/>
      <c r="EF117" s="24"/>
      <c r="EG117" s="24"/>
      <c r="EH117" s="24"/>
      <c r="EI117" s="24"/>
      <c r="EJ117" s="24"/>
      <c r="EK117" s="24"/>
      <c r="EL117" s="24"/>
      <c r="EM117" s="24"/>
      <c r="EN117" s="24"/>
      <c r="EO117" s="24"/>
      <c r="EP117" s="24"/>
      <c r="EQ117" s="24"/>
      <c r="ER117" s="24"/>
      <c r="ES117" s="24"/>
      <c r="ET117" s="24"/>
      <c r="EU117" s="24"/>
      <c r="EV117" s="24"/>
      <c r="EW117" s="24"/>
      <c r="EX117" s="24"/>
      <c r="EY117" s="24"/>
      <c r="EZ117" s="24"/>
      <c r="FA117" s="24"/>
      <c r="FB117" s="24"/>
      <c r="FC117" s="24"/>
      <c r="FD117" s="24"/>
      <c r="FE117" s="24"/>
      <c r="FF117" s="24"/>
      <c r="FG117" s="24"/>
      <c r="FH117" s="24"/>
      <c r="FI117" s="24"/>
      <c r="FJ117" s="24"/>
      <c r="FK117" s="24"/>
      <c r="FL117" s="24"/>
    </row>
    <row r="118" spans="1:168" ht="15.75" customHeight="1">
      <c r="A118" s="176"/>
      <c r="B118" s="177"/>
      <c r="C118" s="177"/>
      <c r="D118" s="177"/>
      <c r="E118" s="177"/>
      <c r="F118" s="177"/>
      <c r="G118" s="178"/>
      <c r="H118" s="179"/>
      <c r="J118" s="185"/>
      <c r="O118" s="182"/>
      <c r="P118" s="182"/>
      <c r="Q118" s="1"/>
      <c r="AC118" s="180"/>
      <c r="AD118" s="180"/>
      <c r="AE118" s="180"/>
      <c r="AJ118" s="191"/>
      <c r="BS118" s="181"/>
      <c r="CC118" s="24"/>
      <c r="CD118" s="24"/>
      <c r="CE118" s="24"/>
      <c r="CF118" s="24"/>
      <c r="CG118" s="24"/>
      <c r="CH118" s="24"/>
      <c r="CI118" s="24"/>
      <c r="CJ118" s="24"/>
      <c r="DE118" s="24"/>
      <c r="DF118" s="24"/>
      <c r="DG118" s="24"/>
      <c r="DH118" s="24"/>
      <c r="DI118" s="24"/>
      <c r="DJ118" s="24"/>
      <c r="DK118" s="24"/>
      <c r="DL118" s="24"/>
      <c r="DM118" s="24"/>
      <c r="DN118" s="24"/>
      <c r="DO118" s="24"/>
      <c r="DP118" s="24"/>
      <c r="DQ118" s="24"/>
      <c r="DR118" s="24"/>
      <c r="DS118" s="24"/>
      <c r="DT118" s="24"/>
      <c r="DU118" s="24"/>
      <c r="DV118" s="24"/>
      <c r="DW118" s="24"/>
      <c r="DX118" s="24"/>
      <c r="DY118" s="24"/>
      <c r="DZ118" s="24"/>
      <c r="EA118" s="24"/>
      <c r="EB118" s="24"/>
      <c r="EC118" s="24"/>
      <c r="ED118" s="24"/>
      <c r="EE118" s="24"/>
      <c r="EF118" s="24"/>
      <c r="EG118" s="24"/>
      <c r="EH118" s="24"/>
      <c r="EI118" s="24"/>
      <c r="EJ118" s="24"/>
      <c r="EK118" s="24"/>
      <c r="EL118" s="24"/>
      <c r="EM118" s="24"/>
      <c r="EN118" s="24"/>
      <c r="EO118" s="24"/>
      <c r="EP118" s="24"/>
      <c r="EQ118" s="24"/>
      <c r="ER118" s="24"/>
      <c r="ES118" s="24"/>
      <c r="ET118" s="24"/>
      <c r="EU118" s="24"/>
      <c r="EV118" s="24"/>
      <c r="EW118" s="24"/>
      <c r="EX118" s="24"/>
      <c r="EY118" s="24"/>
      <c r="EZ118" s="24"/>
      <c r="FA118" s="24"/>
      <c r="FB118" s="24"/>
      <c r="FC118" s="24"/>
      <c r="FD118" s="24"/>
      <c r="FE118" s="24"/>
      <c r="FF118" s="24"/>
      <c r="FG118" s="24"/>
      <c r="FH118" s="24"/>
      <c r="FI118" s="24"/>
      <c r="FJ118" s="24"/>
      <c r="FK118" s="24"/>
      <c r="FL118" s="24"/>
    </row>
    <row r="119" spans="1:168" ht="15.75" customHeight="1">
      <c r="A119" s="176"/>
      <c r="B119" s="177"/>
      <c r="C119" s="177"/>
      <c r="D119" s="177"/>
      <c r="E119" s="177"/>
      <c r="F119" s="177"/>
      <c r="G119" s="178"/>
      <c r="H119" s="179"/>
      <c r="J119" s="185"/>
      <c r="O119" s="182"/>
      <c r="P119" s="182"/>
      <c r="Q119" s="1"/>
      <c r="AC119" s="180"/>
      <c r="AD119" s="180"/>
      <c r="AE119" s="180"/>
      <c r="AJ119" s="191"/>
      <c r="BS119" s="181"/>
      <c r="CC119" s="24"/>
      <c r="CD119" s="24"/>
      <c r="CE119" s="24"/>
      <c r="CF119" s="24"/>
      <c r="CG119" s="24"/>
      <c r="CH119" s="24"/>
      <c r="CI119" s="24"/>
      <c r="CJ119" s="24"/>
      <c r="DE119" s="24"/>
      <c r="DF119" s="24"/>
      <c r="DG119" s="24"/>
      <c r="DH119" s="24"/>
      <c r="DI119" s="24"/>
      <c r="DJ119" s="24"/>
      <c r="DK119" s="24"/>
      <c r="DL119" s="24"/>
      <c r="DM119" s="24"/>
      <c r="DN119" s="24"/>
      <c r="DO119" s="24"/>
      <c r="DP119" s="24"/>
      <c r="DQ119" s="24"/>
      <c r="DR119" s="24"/>
      <c r="DS119" s="24"/>
      <c r="DT119" s="24"/>
      <c r="DU119" s="24"/>
      <c r="DV119" s="24"/>
      <c r="DW119" s="24"/>
      <c r="DX119" s="24"/>
      <c r="DY119" s="24"/>
      <c r="DZ119" s="24"/>
      <c r="EA119" s="24"/>
      <c r="EB119" s="24"/>
      <c r="EC119" s="24"/>
      <c r="ED119" s="24"/>
      <c r="EE119" s="24"/>
      <c r="EF119" s="24"/>
      <c r="EG119" s="24"/>
      <c r="EH119" s="24"/>
      <c r="EI119" s="24"/>
      <c r="EJ119" s="24"/>
      <c r="EK119" s="24"/>
      <c r="EL119" s="24"/>
      <c r="EM119" s="24"/>
      <c r="EN119" s="24"/>
      <c r="EO119" s="24"/>
      <c r="EP119" s="24"/>
      <c r="EQ119" s="24"/>
      <c r="ER119" s="24"/>
      <c r="ES119" s="24"/>
      <c r="ET119" s="24"/>
      <c r="EU119" s="24"/>
      <c r="EV119" s="24"/>
      <c r="EW119" s="24"/>
      <c r="EX119" s="24"/>
      <c r="EY119" s="24"/>
      <c r="EZ119" s="24"/>
      <c r="FA119" s="24"/>
      <c r="FB119" s="24"/>
      <c r="FC119" s="24"/>
      <c r="FD119" s="24"/>
      <c r="FE119" s="24"/>
      <c r="FF119" s="24"/>
      <c r="FG119" s="24"/>
      <c r="FH119" s="24"/>
      <c r="FI119" s="24"/>
      <c r="FJ119" s="24"/>
      <c r="FK119" s="24"/>
      <c r="FL119" s="24"/>
    </row>
    <row r="120" spans="1:168" ht="15.75" customHeight="1">
      <c r="A120" s="176"/>
      <c r="B120" s="177"/>
      <c r="C120" s="177"/>
      <c r="D120" s="177"/>
      <c r="E120" s="177"/>
      <c r="F120" s="177"/>
      <c r="G120" s="178"/>
      <c r="H120" s="179"/>
      <c r="J120" s="185"/>
      <c r="O120" s="182"/>
      <c r="P120" s="182"/>
      <c r="Q120" s="1"/>
      <c r="AC120" s="180"/>
      <c r="AD120" s="180"/>
      <c r="AE120" s="180"/>
      <c r="AJ120" s="191"/>
      <c r="BS120" s="181"/>
      <c r="CC120" s="24"/>
      <c r="CD120" s="24"/>
      <c r="CE120" s="24"/>
      <c r="CF120" s="24"/>
      <c r="CG120" s="24"/>
      <c r="CH120" s="24"/>
      <c r="CI120" s="24"/>
      <c r="CJ120" s="24"/>
      <c r="DE120" s="24"/>
      <c r="DF120" s="24"/>
      <c r="DG120" s="24"/>
      <c r="DH120" s="24"/>
      <c r="DI120" s="24"/>
      <c r="DJ120" s="24"/>
      <c r="DK120" s="24"/>
      <c r="DL120" s="24"/>
      <c r="DM120" s="24"/>
      <c r="DN120" s="24"/>
      <c r="DO120" s="24"/>
      <c r="DP120" s="24"/>
      <c r="DQ120" s="24"/>
      <c r="DR120" s="24"/>
      <c r="DS120" s="24"/>
      <c r="DT120" s="24"/>
      <c r="DU120" s="24"/>
      <c r="DV120" s="24"/>
      <c r="DW120" s="24"/>
      <c r="DX120" s="24"/>
      <c r="DY120" s="24"/>
      <c r="DZ120" s="24"/>
      <c r="EA120" s="24"/>
      <c r="EB120" s="24"/>
      <c r="EC120" s="24"/>
      <c r="ED120" s="24"/>
      <c r="EE120" s="24"/>
      <c r="EF120" s="24"/>
      <c r="EG120" s="24"/>
      <c r="EH120" s="24"/>
      <c r="EI120" s="24"/>
      <c r="EJ120" s="24"/>
      <c r="EK120" s="24"/>
      <c r="EL120" s="24"/>
      <c r="EM120" s="24"/>
      <c r="EN120" s="24"/>
      <c r="EO120" s="24"/>
      <c r="EP120" s="24"/>
      <c r="EQ120" s="24"/>
      <c r="ER120" s="24"/>
      <c r="ES120" s="24"/>
      <c r="ET120" s="24"/>
      <c r="EU120" s="24"/>
      <c r="EV120" s="24"/>
      <c r="EW120" s="24"/>
      <c r="EX120" s="24"/>
      <c r="EY120" s="24"/>
      <c r="EZ120" s="24"/>
      <c r="FA120" s="24"/>
      <c r="FB120" s="24"/>
      <c r="FC120" s="24"/>
      <c r="FD120" s="24"/>
      <c r="FE120" s="24"/>
      <c r="FF120" s="24"/>
      <c r="FG120" s="24"/>
      <c r="FH120" s="24"/>
      <c r="FI120" s="24"/>
      <c r="FJ120" s="24"/>
      <c r="FK120" s="24"/>
      <c r="FL120" s="24"/>
    </row>
    <row r="121" spans="1:168" ht="15.75" customHeight="1">
      <c r="A121" s="176"/>
      <c r="B121" s="177"/>
      <c r="C121" s="177"/>
      <c r="D121" s="177"/>
      <c r="E121" s="177"/>
      <c r="F121" s="177"/>
      <c r="G121" s="178"/>
      <c r="H121" s="179"/>
      <c r="J121" s="185"/>
      <c r="O121" s="182"/>
      <c r="P121" s="182"/>
      <c r="Q121" s="1"/>
      <c r="AC121" s="180"/>
      <c r="AD121" s="180"/>
      <c r="AE121" s="180"/>
      <c r="AJ121" s="191"/>
      <c r="BS121" s="181"/>
      <c r="CC121" s="24"/>
      <c r="CD121" s="24"/>
      <c r="CE121" s="24"/>
      <c r="CF121" s="24"/>
      <c r="CG121" s="24"/>
      <c r="CH121" s="24"/>
      <c r="CI121" s="24"/>
      <c r="CJ121" s="24"/>
      <c r="DE121" s="24"/>
      <c r="DF121" s="24"/>
      <c r="DG121" s="24"/>
      <c r="DH121" s="24"/>
      <c r="DI121" s="24"/>
      <c r="DJ121" s="24"/>
      <c r="DK121" s="24"/>
      <c r="DL121" s="24"/>
      <c r="DM121" s="24"/>
      <c r="DN121" s="24"/>
      <c r="DO121" s="24"/>
      <c r="DP121" s="24"/>
      <c r="DQ121" s="24"/>
      <c r="DR121" s="24"/>
      <c r="DS121" s="24"/>
      <c r="DT121" s="24"/>
      <c r="DU121" s="24"/>
      <c r="DV121" s="24"/>
      <c r="DW121" s="24"/>
      <c r="DX121" s="24"/>
      <c r="DY121" s="24"/>
      <c r="DZ121" s="24"/>
      <c r="EA121" s="24"/>
      <c r="EB121" s="24"/>
      <c r="EC121" s="24"/>
      <c r="ED121" s="24"/>
      <c r="EE121" s="24"/>
      <c r="EF121" s="24"/>
      <c r="EG121" s="24"/>
      <c r="EH121" s="24"/>
      <c r="EI121" s="24"/>
      <c r="EJ121" s="24"/>
      <c r="EK121" s="24"/>
      <c r="EL121" s="24"/>
      <c r="EM121" s="24"/>
      <c r="EN121" s="24"/>
      <c r="EO121" s="24"/>
      <c r="EP121" s="24"/>
      <c r="EQ121" s="24"/>
      <c r="ER121" s="24"/>
      <c r="ES121" s="24"/>
      <c r="ET121" s="24"/>
      <c r="EU121" s="24"/>
      <c r="EV121" s="24"/>
      <c r="EW121" s="24"/>
      <c r="EX121" s="24"/>
      <c r="EY121" s="24"/>
      <c r="EZ121" s="24"/>
      <c r="FA121" s="24"/>
      <c r="FB121" s="24"/>
      <c r="FC121" s="24"/>
      <c r="FD121" s="24"/>
      <c r="FE121" s="24"/>
      <c r="FF121" s="24"/>
      <c r="FG121" s="24"/>
      <c r="FH121" s="24"/>
      <c r="FI121" s="24"/>
      <c r="FJ121" s="24"/>
      <c r="FK121" s="24"/>
      <c r="FL121" s="24"/>
    </row>
    <row r="122" spans="1:168" ht="15.75" customHeight="1">
      <c r="A122" s="176"/>
      <c r="B122" s="177"/>
      <c r="C122" s="177"/>
      <c r="D122" s="177"/>
      <c r="E122" s="177"/>
      <c r="F122" s="177"/>
      <c r="G122" s="178"/>
      <c r="H122" s="179"/>
      <c r="J122" s="185"/>
      <c r="O122" s="182"/>
      <c r="P122" s="182"/>
      <c r="Q122" s="1"/>
      <c r="AC122" s="180"/>
      <c r="AD122" s="180"/>
      <c r="AE122" s="180"/>
      <c r="AJ122" s="191"/>
      <c r="BS122" s="181"/>
      <c r="CC122" s="24"/>
      <c r="CD122" s="24"/>
      <c r="CE122" s="24"/>
      <c r="CF122" s="24"/>
      <c r="CG122" s="24"/>
      <c r="CH122" s="24"/>
      <c r="CI122" s="24"/>
      <c r="CJ122" s="24"/>
      <c r="DE122" s="24"/>
      <c r="DF122" s="24"/>
      <c r="DG122" s="24"/>
      <c r="DH122" s="24"/>
      <c r="DI122" s="24"/>
      <c r="DJ122" s="24"/>
      <c r="DK122" s="24"/>
      <c r="DL122" s="24"/>
      <c r="DM122" s="24"/>
      <c r="DN122" s="24"/>
      <c r="DO122" s="24"/>
      <c r="DP122" s="24"/>
      <c r="DQ122" s="24"/>
      <c r="DR122" s="24"/>
      <c r="DS122" s="24"/>
      <c r="DT122" s="24"/>
      <c r="DU122" s="24"/>
      <c r="DV122" s="24"/>
      <c r="DW122" s="24"/>
      <c r="DX122" s="24"/>
      <c r="DY122" s="24"/>
      <c r="DZ122" s="24"/>
      <c r="EA122" s="24"/>
      <c r="EB122" s="24"/>
      <c r="EC122" s="24"/>
      <c r="ED122" s="24"/>
      <c r="EE122" s="24"/>
      <c r="EF122" s="24"/>
      <c r="EG122" s="24"/>
      <c r="EH122" s="24"/>
      <c r="EI122" s="24"/>
      <c r="EJ122" s="24"/>
      <c r="EK122" s="24"/>
      <c r="EL122" s="24"/>
      <c r="EM122" s="24"/>
      <c r="EN122" s="24"/>
      <c r="EO122" s="24"/>
      <c r="EP122" s="24"/>
      <c r="EQ122" s="24"/>
      <c r="ER122" s="24"/>
      <c r="ES122" s="24"/>
      <c r="ET122" s="24"/>
      <c r="EU122" s="24"/>
      <c r="EV122" s="24"/>
      <c r="EW122" s="24"/>
      <c r="EX122" s="24"/>
      <c r="EY122" s="24"/>
      <c r="EZ122" s="24"/>
      <c r="FA122" s="24"/>
      <c r="FB122" s="24"/>
      <c r="FC122" s="24"/>
      <c r="FD122" s="24"/>
      <c r="FE122" s="24"/>
      <c r="FF122" s="24"/>
      <c r="FG122" s="24"/>
      <c r="FH122" s="24"/>
      <c r="FI122" s="24"/>
      <c r="FJ122" s="24"/>
      <c r="FK122" s="24"/>
      <c r="FL122" s="24"/>
    </row>
    <row r="123" spans="1:168" ht="15.75" customHeight="1">
      <c r="A123" s="176"/>
      <c r="B123" s="177"/>
      <c r="C123" s="177"/>
      <c r="D123" s="177"/>
      <c r="E123" s="177"/>
      <c r="F123" s="177"/>
      <c r="G123" s="178"/>
      <c r="H123" s="179"/>
      <c r="J123" s="185"/>
      <c r="O123" s="182"/>
      <c r="P123" s="182"/>
      <c r="Q123" s="1"/>
      <c r="AC123" s="180"/>
      <c r="AD123" s="180"/>
      <c r="AE123" s="180"/>
      <c r="AJ123" s="191"/>
      <c r="BS123" s="181"/>
      <c r="CC123" s="24"/>
      <c r="CD123" s="24"/>
      <c r="CE123" s="24"/>
      <c r="CF123" s="24"/>
      <c r="CG123" s="24"/>
      <c r="CH123" s="24"/>
      <c r="CI123" s="24"/>
      <c r="CJ123" s="24"/>
      <c r="DE123" s="24"/>
      <c r="DF123" s="24"/>
      <c r="DG123" s="24"/>
      <c r="DH123" s="24"/>
      <c r="DI123" s="24"/>
      <c r="DJ123" s="24"/>
      <c r="DK123" s="24"/>
      <c r="DL123" s="24"/>
      <c r="DM123" s="24"/>
      <c r="DN123" s="24"/>
      <c r="DO123" s="24"/>
      <c r="DP123" s="24"/>
      <c r="DQ123" s="24"/>
      <c r="DR123" s="24"/>
      <c r="DS123" s="24"/>
      <c r="DT123" s="24"/>
      <c r="DU123" s="24"/>
      <c r="DV123" s="24"/>
      <c r="DW123" s="24"/>
      <c r="DX123" s="24"/>
      <c r="DY123" s="24"/>
      <c r="DZ123" s="24"/>
      <c r="EA123" s="24"/>
      <c r="EB123" s="24"/>
      <c r="EC123" s="24"/>
      <c r="ED123" s="24"/>
      <c r="EE123" s="24"/>
      <c r="EF123" s="24"/>
      <c r="EG123" s="24"/>
      <c r="EH123" s="24"/>
      <c r="EI123" s="24"/>
      <c r="EJ123" s="24"/>
      <c r="EK123" s="24"/>
      <c r="EL123" s="24"/>
      <c r="EM123" s="24"/>
      <c r="EN123" s="24"/>
      <c r="EO123" s="24"/>
      <c r="EP123" s="24"/>
      <c r="EQ123" s="24"/>
      <c r="ER123" s="24"/>
      <c r="ES123" s="24"/>
      <c r="ET123" s="24"/>
      <c r="EU123" s="24"/>
      <c r="EV123" s="24"/>
      <c r="EW123" s="24"/>
      <c r="EX123" s="24"/>
      <c r="EY123" s="24"/>
      <c r="EZ123" s="24"/>
      <c r="FA123" s="24"/>
      <c r="FB123" s="24"/>
      <c r="FC123" s="24"/>
      <c r="FD123" s="24"/>
      <c r="FE123" s="24"/>
      <c r="FF123" s="24"/>
      <c r="FG123" s="24"/>
      <c r="FH123" s="24"/>
      <c r="FI123" s="24"/>
      <c r="FJ123" s="24"/>
      <c r="FK123" s="24"/>
      <c r="FL123" s="24"/>
    </row>
    <row r="124" spans="1:168" ht="15.75" customHeight="1">
      <c r="A124" s="176"/>
      <c r="B124" s="177"/>
      <c r="C124" s="177"/>
      <c r="D124" s="177"/>
      <c r="E124" s="177"/>
      <c r="F124" s="177"/>
      <c r="G124" s="178"/>
      <c r="H124" s="179"/>
      <c r="J124" s="185"/>
      <c r="O124" s="182"/>
      <c r="P124" s="182"/>
      <c r="Q124" s="1"/>
      <c r="AC124" s="180"/>
      <c r="AD124" s="180"/>
      <c r="AE124" s="180"/>
      <c r="AJ124" s="191"/>
      <c r="BS124" s="181"/>
      <c r="CC124" s="24"/>
      <c r="CD124" s="24"/>
      <c r="CE124" s="24"/>
      <c r="CF124" s="24"/>
      <c r="CG124" s="24"/>
      <c r="CH124" s="24"/>
      <c r="CI124" s="24"/>
      <c r="CJ124" s="24"/>
      <c r="DE124" s="24"/>
      <c r="DF124" s="24"/>
      <c r="DG124" s="24"/>
      <c r="DH124" s="24"/>
      <c r="DI124" s="24"/>
      <c r="DJ124" s="24"/>
      <c r="DK124" s="24"/>
      <c r="DL124" s="24"/>
      <c r="DM124" s="24"/>
      <c r="DN124" s="24"/>
      <c r="DO124" s="24"/>
      <c r="DP124" s="24"/>
      <c r="DQ124" s="24"/>
      <c r="DR124" s="24"/>
      <c r="DS124" s="24"/>
      <c r="DT124" s="24"/>
      <c r="DU124" s="24"/>
      <c r="DV124" s="24"/>
      <c r="DW124" s="24"/>
      <c r="DX124" s="24"/>
      <c r="DY124" s="24"/>
      <c r="DZ124" s="24"/>
      <c r="EA124" s="24"/>
      <c r="EB124" s="24"/>
      <c r="EC124" s="24"/>
      <c r="ED124" s="24"/>
      <c r="EE124" s="24"/>
      <c r="EF124" s="24"/>
      <c r="EG124" s="24"/>
      <c r="EH124" s="24"/>
      <c r="EI124" s="24"/>
      <c r="EJ124" s="24"/>
      <c r="EK124" s="24"/>
      <c r="EL124" s="24"/>
      <c r="EM124" s="24"/>
      <c r="EN124" s="24"/>
      <c r="EO124" s="24"/>
      <c r="EP124" s="24"/>
      <c r="EQ124" s="24"/>
      <c r="ER124" s="24"/>
      <c r="ES124" s="24"/>
      <c r="ET124" s="24"/>
      <c r="EU124" s="24"/>
      <c r="EV124" s="24"/>
      <c r="EW124" s="24"/>
      <c r="EX124" s="24"/>
      <c r="EY124" s="24"/>
      <c r="EZ124" s="24"/>
      <c r="FA124" s="24"/>
      <c r="FB124" s="24"/>
      <c r="FC124" s="24"/>
      <c r="FD124" s="24"/>
      <c r="FE124" s="24"/>
      <c r="FF124" s="24"/>
      <c r="FG124" s="24"/>
      <c r="FH124" s="24"/>
      <c r="FI124" s="24"/>
      <c r="FJ124" s="24"/>
      <c r="FK124" s="24"/>
      <c r="FL124" s="24"/>
    </row>
    <row r="125" spans="1:168" ht="15.75" customHeight="1">
      <c r="A125" s="176"/>
      <c r="B125" s="177"/>
      <c r="C125" s="177"/>
      <c r="D125" s="177"/>
      <c r="E125" s="177"/>
      <c r="F125" s="177"/>
      <c r="G125" s="178"/>
      <c r="H125" s="179"/>
      <c r="J125" s="185"/>
      <c r="O125" s="182"/>
      <c r="P125" s="182"/>
      <c r="Q125" s="1"/>
      <c r="AC125" s="180"/>
      <c r="AD125" s="180"/>
      <c r="AE125" s="180"/>
      <c r="AJ125" s="191"/>
      <c r="BS125" s="181"/>
      <c r="CC125" s="24"/>
      <c r="CD125" s="24"/>
      <c r="CE125" s="24"/>
      <c r="CF125" s="24"/>
      <c r="CG125" s="24"/>
      <c r="CH125" s="24"/>
      <c r="CI125" s="24"/>
      <c r="CJ125" s="24"/>
      <c r="DE125" s="24"/>
      <c r="DF125" s="24"/>
      <c r="DG125" s="24"/>
      <c r="DH125" s="24"/>
      <c r="DI125" s="24"/>
      <c r="DJ125" s="24"/>
      <c r="DK125" s="24"/>
      <c r="DL125" s="24"/>
      <c r="DM125" s="24"/>
      <c r="DN125" s="24"/>
      <c r="DO125" s="24"/>
      <c r="DP125" s="24"/>
      <c r="DQ125" s="24"/>
      <c r="DR125" s="24"/>
      <c r="DS125" s="24"/>
      <c r="DT125" s="24"/>
      <c r="DU125" s="24"/>
      <c r="DV125" s="24"/>
      <c r="DW125" s="24"/>
      <c r="DX125" s="24"/>
      <c r="DY125" s="24"/>
      <c r="DZ125" s="24"/>
      <c r="EA125" s="24"/>
      <c r="EB125" s="24"/>
      <c r="EC125" s="24"/>
      <c r="ED125" s="24"/>
      <c r="EE125" s="24"/>
      <c r="EF125" s="24"/>
      <c r="EG125" s="24"/>
      <c r="EH125" s="24"/>
      <c r="EI125" s="24"/>
      <c r="EJ125" s="24"/>
      <c r="EK125" s="24"/>
      <c r="EL125" s="24"/>
      <c r="EM125" s="24"/>
      <c r="EN125" s="24"/>
      <c r="EO125" s="24"/>
      <c r="EP125" s="24"/>
      <c r="EQ125" s="24"/>
      <c r="ER125" s="24"/>
      <c r="ES125" s="24"/>
      <c r="ET125" s="24"/>
      <c r="EU125" s="24"/>
      <c r="EV125" s="24"/>
      <c r="EW125" s="24"/>
      <c r="EX125" s="24"/>
      <c r="EY125" s="24"/>
      <c r="EZ125" s="24"/>
      <c r="FA125" s="24"/>
      <c r="FB125" s="24"/>
      <c r="FC125" s="24"/>
      <c r="FD125" s="24"/>
      <c r="FE125" s="24"/>
      <c r="FF125" s="24"/>
      <c r="FG125" s="24"/>
      <c r="FH125" s="24"/>
      <c r="FI125" s="24"/>
      <c r="FJ125" s="24"/>
      <c r="FK125" s="24"/>
      <c r="FL125" s="24"/>
    </row>
    <row r="126" spans="1:168" ht="15.75" customHeight="1">
      <c r="A126" s="176"/>
      <c r="B126" s="177"/>
      <c r="C126" s="177"/>
      <c r="D126" s="177"/>
      <c r="E126" s="177"/>
      <c r="F126" s="177"/>
      <c r="G126" s="178"/>
      <c r="H126" s="179"/>
      <c r="J126" s="185"/>
      <c r="O126" s="182"/>
      <c r="P126" s="182"/>
      <c r="Q126" s="1"/>
      <c r="AC126" s="180"/>
      <c r="AD126" s="180"/>
      <c r="AE126" s="180"/>
      <c r="AJ126" s="191"/>
      <c r="BS126" s="181"/>
      <c r="CC126" s="24"/>
      <c r="CD126" s="24"/>
      <c r="CE126" s="24"/>
      <c r="CF126" s="24"/>
      <c r="CG126" s="24"/>
      <c r="CH126" s="24"/>
      <c r="CI126" s="24"/>
      <c r="CJ126" s="24"/>
      <c r="DE126" s="24"/>
      <c r="DF126" s="24"/>
      <c r="DG126" s="24"/>
      <c r="DH126" s="24"/>
      <c r="DI126" s="24"/>
      <c r="DJ126" s="24"/>
      <c r="DK126" s="24"/>
      <c r="DL126" s="24"/>
      <c r="DM126" s="24"/>
      <c r="DN126" s="24"/>
      <c r="DO126" s="24"/>
      <c r="DP126" s="24"/>
      <c r="DQ126" s="24"/>
      <c r="DR126" s="24"/>
      <c r="DS126" s="24"/>
      <c r="DT126" s="24"/>
      <c r="DU126" s="24"/>
      <c r="DV126" s="24"/>
      <c r="DW126" s="24"/>
      <c r="DX126" s="24"/>
      <c r="DY126" s="24"/>
      <c r="DZ126" s="24"/>
      <c r="EA126" s="24"/>
      <c r="EB126" s="24"/>
      <c r="EC126" s="24"/>
      <c r="ED126" s="24"/>
      <c r="EE126" s="24"/>
      <c r="EF126" s="24"/>
      <c r="EG126" s="24"/>
      <c r="EH126" s="24"/>
      <c r="EI126" s="24"/>
      <c r="EJ126" s="24"/>
      <c r="EK126" s="24"/>
      <c r="EL126" s="24"/>
      <c r="EM126" s="24"/>
      <c r="EN126" s="24"/>
      <c r="EO126" s="24"/>
      <c r="EP126" s="24"/>
      <c r="EQ126" s="24"/>
      <c r="ER126" s="24"/>
      <c r="ES126" s="24"/>
      <c r="ET126" s="24"/>
      <c r="EU126" s="24"/>
      <c r="EV126" s="24"/>
      <c r="EW126" s="24"/>
      <c r="EX126" s="24"/>
      <c r="EY126" s="24"/>
      <c r="EZ126" s="24"/>
      <c r="FA126" s="24"/>
      <c r="FB126" s="24"/>
      <c r="FC126" s="24"/>
      <c r="FD126" s="24"/>
      <c r="FE126" s="24"/>
      <c r="FF126" s="24"/>
      <c r="FG126" s="24"/>
      <c r="FH126" s="24"/>
      <c r="FI126" s="24"/>
      <c r="FJ126" s="24"/>
      <c r="FK126" s="24"/>
      <c r="FL126" s="24"/>
    </row>
    <row r="127" spans="1:168" ht="15.75" customHeight="1">
      <c r="A127" s="176"/>
      <c r="B127" s="177"/>
      <c r="C127" s="177"/>
      <c r="D127" s="177"/>
      <c r="E127" s="177"/>
      <c r="F127" s="177"/>
      <c r="G127" s="178"/>
      <c r="H127" s="179"/>
      <c r="J127" s="185"/>
      <c r="O127" s="182"/>
      <c r="P127" s="182"/>
      <c r="Q127" s="1"/>
      <c r="AC127" s="180"/>
      <c r="AD127" s="180"/>
      <c r="AE127" s="180"/>
      <c r="AJ127" s="191"/>
      <c r="BS127" s="181"/>
      <c r="CC127" s="24"/>
      <c r="CD127" s="24"/>
      <c r="CE127" s="24"/>
      <c r="CF127" s="24"/>
      <c r="CG127" s="24"/>
      <c r="CH127" s="24"/>
      <c r="CI127" s="24"/>
      <c r="CJ127" s="24"/>
      <c r="DE127" s="24"/>
      <c r="DF127" s="24"/>
      <c r="DG127" s="24"/>
      <c r="DH127" s="24"/>
      <c r="DI127" s="24"/>
      <c r="DJ127" s="24"/>
      <c r="DK127" s="24"/>
      <c r="DL127" s="24"/>
      <c r="DM127" s="24"/>
      <c r="DN127" s="24"/>
      <c r="DO127" s="24"/>
      <c r="DP127" s="24"/>
      <c r="DQ127" s="24"/>
      <c r="DR127" s="24"/>
      <c r="DS127" s="24"/>
      <c r="DT127" s="24"/>
      <c r="DU127" s="24"/>
      <c r="DV127" s="24"/>
      <c r="DW127" s="24"/>
      <c r="DX127" s="24"/>
      <c r="DY127" s="24"/>
      <c r="DZ127" s="24"/>
      <c r="EA127" s="24"/>
      <c r="EB127" s="24"/>
      <c r="EC127" s="24"/>
      <c r="ED127" s="24"/>
      <c r="EE127" s="24"/>
      <c r="EF127" s="24"/>
      <c r="EG127" s="24"/>
      <c r="EH127" s="24"/>
      <c r="EI127" s="24"/>
      <c r="EJ127" s="24"/>
      <c r="EK127" s="24"/>
      <c r="EL127" s="24"/>
      <c r="EM127" s="24"/>
      <c r="EN127" s="24"/>
      <c r="EO127" s="24"/>
      <c r="EP127" s="24"/>
      <c r="EQ127" s="24"/>
      <c r="ER127" s="24"/>
      <c r="ES127" s="24"/>
      <c r="ET127" s="24"/>
      <c r="EU127" s="24"/>
      <c r="EV127" s="24"/>
      <c r="EW127" s="24"/>
      <c r="EX127" s="24"/>
      <c r="EY127" s="24"/>
      <c r="EZ127" s="24"/>
      <c r="FA127" s="24"/>
      <c r="FB127" s="24"/>
      <c r="FC127" s="24"/>
      <c r="FD127" s="24"/>
      <c r="FE127" s="24"/>
      <c r="FF127" s="24"/>
      <c r="FG127" s="24"/>
      <c r="FH127" s="24"/>
      <c r="FI127" s="24"/>
      <c r="FJ127" s="24"/>
      <c r="FK127" s="24"/>
      <c r="FL127" s="24"/>
    </row>
    <row r="128" spans="1:168" ht="15.75" customHeight="1">
      <c r="A128" s="176"/>
      <c r="B128" s="177"/>
      <c r="C128" s="177"/>
      <c r="D128" s="177"/>
      <c r="E128" s="177"/>
      <c r="F128" s="177"/>
      <c r="G128" s="178"/>
      <c r="H128" s="179"/>
      <c r="J128" s="185"/>
      <c r="O128" s="182"/>
      <c r="P128" s="182"/>
      <c r="Q128" s="1"/>
      <c r="AC128" s="180"/>
      <c r="AD128" s="180"/>
      <c r="AE128" s="180"/>
      <c r="AJ128" s="191"/>
      <c r="BS128" s="181"/>
      <c r="CC128" s="24"/>
      <c r="CD128" s="24"/>
      <c r="CE128" s="24"/>
      <c r="CF128" s="24"/>
      <c r="CG128" s="24"/>
      <c r="CH128" s="24"/>
      <c r="CI128" s="24"/>
      <c r="CJ128" s="24"/>
      <c r="DE128" s="24"/>
      <c r="DF128" s="24"/>
      <c r="DG128" s="24"/>
      <c r="DH128" s="24"/>
      <c r="DI128" s="24"/>
      <c r="DJ128" s="24"/>
      <c r="DK128" s="24"/>
      <c r="DL128" s="24"/>
      <c r="DM128" s="24"/>
      <c r="DN128" s="24"/>
      <c r="DO128" s="24"/>
      <c r="DP128" s="24"/>
      <c r="DQ128" s="24"/>
      <c r="DR128" s="24"/>
      <c r="DS128" s="24"/>
      <c r="DT128" s="24"/>
      <c r="DU128" s="24"/>
      <c r="DV128" s="24"/>
      <c r="DW128" s="24"/>
      <c r="DX128" s="24"/>
      <c r="DY128" s="24"/>
      <c r="DZ128" s="24"/>
      <c r="EA128" s="24"/>
      <c r="EB128" s="24"/>
      <c r="EC128" s="24"/>
      <c r="ED128" s="24"/>
      <c r="EE128" s="24"/>
      <c r="EF128" s="24"/>
      <c r="EG128" s="24"/>
      <c r="EH128" s="24"/>
      <c r="EI128" s="24"/>
      <c r="EJ128" s="24"/>
      <c r="EK128" s="24"/>
      <c r="EL128" s="24"/>
      <c r="EM128" s="24"/>
      <c r="EN128" s="24"/>
      <c r="EO128" s="24"/>
      <c r="EP128" s="24"/>
      <c r="EQ128" s="24"/>
      <c r="ER128" s="24"/>
      <c r="ES128" s="24"/>
      <c r="ET128" s="24"/>
      <c r="EU128" s="24"/>
      <c r="EV128" s="24"/>
      <c r="EW128" s="24"/>
      <c r="EX128" s="24"/>
      <c r="EY128" s="24"/>
      <c r="EZ128" s="24"/>
      <c r="FA128" s="24"/>
      <c r="FB128" s="24"/>
      <c r="FC128" s="24"/>
      <c r="FD128" s="24"/>
      <c r="FE128" s="24"/>
      <c r="FF128" s="24"/>
      <c r="FG128" s="24"/>
      <c r="FH128" s="24"/>
      <c r="FI128" s="24"/>
      <c r="FJ128" s="24"/>
      <c r="FK128" s="24"/>
      <c r="FL128" s="24"/>
    </row>
    <row r="129" spans="1:168" ht="15.75" customHeight="1">
      <c r="A129" s="176"/>
      <c r="B129" s="177"/>
      <c r="C129" s="177"/>
      <c r="D129" s="177"/>
      <c r="E129" s="177"/>
      <c r="F129" s="177"/>
      <c r="G129" s="178"/>
      <c r="H129" s="179"/>
      <c r="J129" s="185"/>
      <c r="O129" s="182"/>
      <c r="P129" s="182"/>
      <c r="Q129" s="1"/>
      <c r="AC129" s="180"/>
      <c r="AD129" s="180"/>
      <c r="AE129" s="180"/>
      <c r="AJ129" s="191"/>
      <c r="BS129" s="181"/>
      <c r="CC129" s="24"/>
      <c r="CD129" s="24"/>
      <c r="CE129" s="24"/>
      <c r="CF129" s="24"/>
      <c r="CG129" s="24"/>
      <c r="CH129" s="24"/>
      <c r="CI129" s="24"/>
      <c r="CJ129" s="24"/>
      <c r="DE129" s="24"/>
      <c r="DF129" s="24"/>
      <c r="DG129" s="24"/>
      <c r="DH129" s="24"/>
      <c r="DI129" s="24"/>
      <c r="DJ129" s="24"/>
      <c r="DK129" s="24"/>
      <c r="DL129" s="24"/>
      <c r="DM129" s="24"/>
      <c r="DN129" s="24"/>
      <c r="DO129" s="24"/>
      <c r="DP129" s="24"/>
      <c r="DQ129" s="24"/>
      <c r="DR129" s="24"/>
      <c r="DS129" s="24"/>
      <c r="DT129" s="24"/>
      <c r="DU129" s="24"/>
      <c r="DV129" s="24"/>
      <c r="DW129" s="24"/>
      <c r="DX129" s="24"/>
      <c r="DY129" s="24"/>
      <c r="DZ129" s="24"/>
      <c r="EA129" s="24"/>
      <c r="EB129" s="24"/>
      <c r="EC129" s="24"/>
      <c r="ED129" s="24"/>
      <c r="EE129" s="24"/>
      <c r="EF129" s="24"/>
      <c r="EG129" s="24"/>
      <c r="EH129" s="24"/>
      <c r="EI129" s="24"/>
      <c r="EJ129" s="24"/>
      <c r="EK129" s="24"/>
      <c r="EL129" s="24"/>
      <c r="EM129" s="24"/>
      <c r="EN129" s="24"/>
      <c r="EO129" s="24"/>
      <c r="EP129" s="24"/>
      <c r="EQ129" s="24"/>
      <c r="ER129" s="24"/>
      <c r="ES129" s="24"/>
      <c r="ET129" s="24"/>
      <c r="EU129" s="24"/>
      <c r="EV129" s="24"/>
      <c r="EW129" s="24"/>
      <c r="EX129" s="24"/>
      <c r="EY129" s="24"/>
      <c r="EZ129" s="24"/>
      <c r="FA129" s="24"/>
      <c r="FB129" s="24"/>
      <c r="FC129" s="24"/>
      <c r="FD129" s="24"/>
      <c r="FE129" s="24"/>
      <c r="FF129" s="24"/>
      <c r="FG129" s="24"/>
      <c r="FH129" s="24"/>
      <c r="FI129" s="24"/>
      <c r="FJ129" s="24"/>
      <c r="FK129" s="24"/>
      <c r="FL129" s="24"/>
    </row>
    <row r="130" spans="1:168" ht="15.75" customHeight="1">
      <c r="A130" s="176"/>
      <c r="B130" s="177"/>
      <c r="C130" s="177"/>
      <c r="D130" s="177"/>
      <c r="E130" s="177"/>
      <c r="F130" s="177"/>
      <c r="G130" s="178"/>
      <c r="H130" s="179"/>
      <c r="J130" s="185"/>
      <c r="O130" s="182"/>
      <c r="P130" s="182"/>
      <c r="Q130" s="1"/>
      <c r="AC130" s="180"/>
      <c r="AD130" s="180"/>
      <c r="AE130" s="180"/>
      <c r="AJ130" s="191"/>
      <c r="BS130" s="181"/>
      <c r="CC130" s="24"/>
      <c r="CD130" s="24"/>
      <c r="CE130" s="24"/>
      <c r="CF130" s="24"/>
      <c r="CG130" s="24"/>
      <c r="CH130" s="24"/>
      <c r="CI130" s="24"/>
      <c r="CJ130" s="24"/>
      <c r="DE130" s="24"/>
      <c r="DF130" s="24"/>
      <c r="DG130" s="24"/>
      <c r="DH130" s="24"/>
      <c r="DI130" s="24"/>
      <c r="DJ130" s="24"/>
      <c r="DK130" s="24"/>
      <c r="DL130" s="24"/>
      <c r="DM130" s="24"/>
      <c r="DN130" s="24"/>
      <c r="DO130" s="24"/>
      <c r="DP130" s="24"/>
      <c r="DQ130" s="24"/>
      <c r="DR130" s="24"/>
      <c r="DS130" s="24"/>
      <c r="DT130" s="24"/>
      <c r="DU130" s="24"/>
      <c r="DV130" s="24"/>
      <c r="DW130" s="24"/>
      <c r="DX130" s="24"/>
      <c r="DY130" s="24"/>
      <c r="DZ130" s="24"/>
      <c r="EA130" s="24"/>
      <c r="EB130" s="24"/>
      <c r="EC130" s="24"/>
      <c r="ED130" s="24"/>
      <c r="EE130" s="24"/>
      <c r="EF130" s="24"/>
      <c r="EG130" s="24"/>
      <c r="EH130" s="24"/>
      <c r="EI130" s="24"/>
      <c r="EJ130" s="24"/>
      <c r="EK130" s="24"/>
      <c r="EL130" s="24"/>
      <c r="EM130" s="24"/>
      <c r="EN130" s="24"/>
      <c r="EO130" s="24"/>
      <c r="EP130" s="24"/>
      <c r="EQ130" s="24"/>
      <c r="ER130" s="24"/>
      <c r="ES130" s="24"/>
      <c r="ET130" s="24"/>
      <c r="EU130" s="24"/>
      <c r="EV130" s="24"/>
      <c r="EW130" s="24"/>
      <c r="EX130" s="24"/>
      <c r="EY130" s="24"/>
      <c r="EZ130" s="24"/>
      <c r="FA130" s="24"/>
      <c r="FB130" s="24"/>
      <c r="FC130" s="24"/>
      <c r="FD130" s="24"/>
      <c r="FE130" s="24"/>
      <c r="FF130" s="24"/>
      <c r="FG130" s="24"/>
      <c r="FH130" s="24"/>
      <c r="FI130" s="24"/>
      <c r="FJ130" s="24"/>
      <c r="FK130" s="24"/>
      <c r="FL130" s="24"/>
    </row>
    <row r="131" spans="1:168" ht="15.75" customHeight="1">
      <c r="A131" s="176"/>
      <c r="B131" s="177"/>
      <c r="C131" s="177"/>
      <c r="D131" s="177"/>
      <c r="E131" s="177"/>
      <c r="F131" s="177"/>
      <c r="G131" s="178"/>
      <c r="H131" s="179"/>
      <c r="J131" s="185"/>
      <c r="O131" s="182"/>
      <c r="P131" s="182"/>
      <c r="Q131" s="1"/>
      <c r="AC131" s="180"/>
      <c r="AD131" s="180"/>
      <c r="AE131" s="180"/>
      <c r="AJ131" s="191"/>
      <c r="BS131" s="181"/>
      <c r="CC131" s="24"/>
      <c r="CD131" s="24"/>
      <c r="CE131" s="24"/>
      <c r="CF131" s="24"/>
      <c r="CG131" s="24"/>
      <c r="CH131" s="24"/>
      <c r="CI131" s="24"/>
      <c r="CJ131" s="24"/>
      <c r="DE131" s="24"/>
      <c r="DF131" s="24"/>
      <c r="DG131" s="24"/>
      <c r="DH131" s="24"/>
      <c r="DI131" s="24"/>
      <c r="DJ131" s="24"/>
      <c r="DK131" s="24"/>
      <c r="DL131" s="24"/>
      <c r="DM131" s="24"/>
      <c r="DN131" s="24"/>
      <c r="DO131" s="24"/>
      <c r="DP131" s="24"/>
      <c r="DQ131" s="24"/>
      <c r="DR131" s="24"/>
      <c r="DS131" s="24"/>
      <c r="DT131" s="24"/>
      <c r="DU131" s="24"/>
      <c r="DV131" s="24"/>
      <c r="DW131" s="24"/>
      <c r="DX131" s="24"/>
      <c r="DY131" s="24"/>
      <c r="DZ131" s="24"/>
      <c r="EA131" s="24"/>
      <c r="EB131" s="24"/>
      <c r="EC131" s="24"/>
      <c r="ED131" s="24"/>
      <c r="EE131" s="24"/>
      <c r="EF131" s="24"/>
      <c r="EG131" s="24"/>
      <c r="EH131" s="24"/>
      <c r="EI131" s="24"/>
      <c r="EJ131" s="24"/>
      <c r="EK131" s="24"/>
      <c r="EL131" s="24"/>
      <c r="EM131" s="24"/>
      <c r="EN131" s="24"/>
      <c r="EO131" s="24"/>
      <c r="EP131" s="24"/>
      <c r="EQ131" s="24"/>
      <c r="ER131" s="24"/>
      <c r="ES131" s="24"/>
      <c r="ET131" s="24"/>
      <c r="EU131" s="24"/>
      <c r="EV131" s="24"/>
      <c r="EW131" s="24"/>
      <c r="EX131" s="24"/>
      <c r="EY131" s="24"/>
      <c r="EZ131" s="24"/>
      <c r="FA131" s="24"/>
      <c r="FB131" s="24"/>
      <c r="FC131" s="24"/>
      <c r="FD131" s="24"/>
      <c r="FE131" s="24"/>
      <c r="FF131" s="24"/>
      <c r="FG131" s="24"/>
      <c r="FH131" s="24"/>
      <c r="FI131" s="24"/>
      <c r="FJ131" s="24"/>
      <c r="FK131" s="24"/>
      <c r="FL131" s="24"/>
    </row>
    <row r="132" spans="1:168" ht="15.75" customHeight="1">
      <c r="A132" s="176"/>
      <c r="B132" s="177"/>
      <c r="C132" s="177"/>
      <c r="D132" s="177"/>
      <c r="E132" s="177"/>
      <c r="F132" s="177"/>
      <c r="G132" s="178"/>
      <c r="H132" s="179"/>
      <c r="J132" s="185"/>
      <c r="O132" s="182"/>
      <c r="P132" s="182"/>
      <c r="Q132" s="1"/>
      <c r="AC132" s="180"/>
      <c r="AD132" s="180"/>
      <c r="AE132" s="180"/>
      <c r="AJ132" s="191"/>
      <c r="BS132" s="181"/>
      <c r="CC132" s="24"/>
      <c r="CD132" s="24"/>
      <c r="CE132" s="24"/>
      <c r="CF132" s="24"/>
      <c r="CG132" s="24"/>
      <c r="CH132" s="24"/>
      <c r="CI132" s="24"/>
      <c r="CJ132" s="24"/>
      <c r="DE132" s="24"/>
      <c r="DF132" s="24"/>
      <c r="DG132" s="24"/>
      <c r="DH132" s="24"/>
      <c r="DI132" s="24"/>
      <c r="DJ132" s="24"/>
      <c r="DK132" s="24"/>
      <c r="DL132" s="24"/>
      <c r="DM132" s="24"/>
      <c r="DN132" s="24"/>
      <c r="DO132" s="24"/>
      <c r="DP132" s="24"/>
      <c r="DQ132" s="24"/>
      <c r="DR132" s="24"/>
      <c r="DS132" s="24"/>
      <c r="DT132" s="24"/>
      <c r="DU132" s="24"/>
      <c r="DV132" s="24"/>
      <c r="DW132" s="24"/>
      <c r="DX132" s="24"/>
      <c r="DY132" s="24"/>
      <c r="DZ132" s="24"/>
      <c r="EA132" s="24"/>
      <c r="EB132" s="24"/>
      <c r="EC132" s="24"/>
      <c r="ED132" s="24"/>
      <c r="EE132" s="24"/>
      <c r="EF132" s="24"/>
      <c r="EG132" s="24"/>
      <c r="EH132" s="24"/>
      <c r="EI132" s="24"/>
      <c r="EJ132" s="24"/>
      <c r="EK132" s="24"/>
      <c r="EL132" s="24"/>
      <c r="EM132" s="24"/>
      <c r="EN132" s="24"/>
      <c r="EO132" s="24"/>
      <c r="EP132" s="24"/>
      <c r="EQ132" s="24"/>
      <c r="ER132" s="24"/>
      <c r="ES132" s="24"/>
      <c r="ET132" s="24"/>
      <c r="EU132" s="24"/>
      <c r="EV132" s="24"/>
      <c r="EW132" s="24"/>
      <c r="EX132" s="24"/>
      <c r="EY132" s="24"/>
      <c r="EZ132" s="24"/>
      <c r="FA132" s="24"/>
      <c r="FB132" s="24"/>
      <c r="FC132" s="24"/>
      <c r="FD132" s="24"/>
      <c r="FE132" s="24"/>
      <c r="FF132" s="24"/>
      <c r="FG132" s="24"/>
      <c r="FH132" s="24"/>
      <c r="FI132" s="24"/>
      <c r="FJ132" s="24"/>
      <c r="FK132" s="24"/>
      <c r="FL132" s="24"/>
    </row>
    <row r="133" spans="1:168" ht="15.75" customHeight="1">
      <c r="A133" s="176"/>
      <c r="B133" s="177"/>
      <c r="C133" s="177"/>
      <c r="D133" s="177"/>
      <c r="E133" s="177"/>
      <c r="F133" s="177"/>
      <c r="G133" s="178"/>
      <c r="H133" s="179"/>
      <c r="J133" s="185"/>
      <c r="O133" s="182"/>
      <c r="P133" s="182"/>
      <c r="Q133" s="1"/>
      <c r="AC133" s="180"/>
      <c r="AD133" s="180"/>
      <c r="AE133" s="180"/>
      <c r="AJ133" s="191"/>
      <c r="BS133" s="181"/>
      <c r="CC133" s="24"/>
      <c r="CD133" s="24"/>
      <c r="CE133" s="24"/>
      <c r="CF133" s="24"/>
      <c r="CG133" s="24"/>
      <c r="CH133" s="24"/>
      <c r="CI133" s="24"/>
      <c r="CJ133" s="24"/>
      <c r="DE133" s="24"/>
      <c r="DF133" s="24"/>
      <c r="DG133" s="24"/>
      <c r="DH133" s="24"/>
      <c r="DI133" s="24"/>
      <c r="DJ133" s="24"/>
      <c r="DK133" s="24"/>
      <c r="DL133" s="24"/>
      <c r="DM133" s="24"/>
      <c r="DN133" s="24"/>
      <c r="DO133" s="24"/>
      <c r="DP133" s="24"/>
      <c r="DQ133" s="24"/>
      <c r="DR133" s="24"/>
      <c r="DS133" s="24"/>
      <c r="DT133" s="24"/>
      <c r="DU133" s="24"/>
      <c r="DV133" s="24"/>
      <c r="DW133" s="24"/>
      <c r="DX133" s="24"/>
      <c r="DY133" s="24"/>
      <c r="DZ133" s="24"/>
      <c r="EA133" s="24"/>
      <c r="EB133" s="24"/>
      <c r="EC133" s="24"/>
      <c r="ED133" s="24"/>
      <c r="EE133" s="24"/>
      <c r="EF133" s="24"/>
      <c r="EG133" s="24"/>
      <c r="EH133" s="24"/>
      <c r="EI133" s="24"/>
      <c r="EJ133" s="24"/>
      <c r="EK133" s="24"/>
      <c r="EL133" s="24"/>
      <c r="EM133" s="24"/>
      <c r="EN133" s="24"/>
      <c r="EO133" s="24"/>
      <c r="EP133" s="24"/>
      <c r="EQ133" s="24"/>
      <c r="ER133" s="24"/>
      <c r="ES133" s="24"/>
      <c r="ET133" s="24"/>
      <c r="EU133" s="24"/>
      <c r="EV133" s="24"/>
      <c r="EW133" s="24"/>
      <c r="EX133" s="24"/>
      <c r="EY133" s="24"/>
      <c r="EZ133" s="24"/>
      <c r="FA133" s="24"/>
      <c r="FB133" s="24"/>
      <c r="FC133" s="24"/>
      <c r="FD133" s="24"/>
      <c r="FE133" s="24"/>
      <c r="FF133" s="24"/>
      <c r="FG133" s="24"/>
      <c r="FH133" s="24"/>
      <c r="FI133" s="24"/>
      <c r="FJ133" s="24"/>
      <c r="FK133" s="24"/>
      <c r="FL133" s="24"/>
    </row>
    <row r="134" spans="1:168" ht="15.75" customHeight="1">
      <c r="A134" s="176"/>
      <c r="B134" s="177"/>
      <c r="C134" s="177"/>
      <c r="D134" s="177"/>
      <c r="E134" s="177"/>
      <c r="F134" s="177"/>
      <c r="G134" s="178"/>
      <c r="H134" s="179"/>
      <c r="J134" s="185"/>
      <c r="O134" s="182"/>
      <c r="P134" s="182"/>
      <c r="Q134" s="1"/>
      <c r="AC134" s="180"/>
      <c r="AD134" s="180"/>
      <c r="AE134" s="180"/>
      <c r="AJ134" s="191"/>
      <c r="BS134" s="181"/>
      <c r="CC134" s="24"/>
      <c r="CD134" s="24"/>
      <c r="CE134" s="24"/>
      <c r="CF134" s="24"/>
      <c r="CG134" s="24"/>
      <c r="CH134" s="24"/>
      <c r="CI134" s="24"/>
      <c r="CJ134" s="24"/>
      <c r="DE134" s="24"/>
      <c r="DF134" s="24"/>
      <c r="DG134" s="24"/>
      <c r="DH134" s="24"/>
      <c r="DI134" s="24"/>
      <c r="DJ134" s="24"/>
      <c r="DK134" s="24"/>
      <c r="DL134" s="24"/>
      <c r="DM134" s="24"/>
      <c r="DN134" s="24"/>
      <c r="DO134" s="24"/>
      <c r="DP134" s="24"/>
      <c r="DQ134" s="24"/>
      <c r="DR134" s="24"/>
      <c r="DS134" s="24"/>
      <c r="DT134" s="24"/>
      <c r="DU134" s="24"/>
      <c r="DV134" s="24"/>
      <c r="DW134" s="24"/>
      <c r="DX134" s="24"/>
      <c r="DY134" s="24"/>
      <c r="DZ134" s="24"/>
      <c r="EA134" s="24"/>
      <c r="EB134" s="24"/>
      <c r="EC134" s="24"/>
      <c r="ED134" s="24"/>
      <c r="EE134" s="24"/>
      <c r="EF134" s="24"/>
      <c r="EG134" s="24"/>
      <c r="EH134" s="24"/>
      <c r="EI134" s="24"/>
      <c r="EJ134" s="24"/>
      <c r="EK134" s="24"/>
      <c r="EL134" s="24"/>
      <c r="EM134" s="24"/>
      <c r="EN134" s="24"/>
      <c r="EO134" s="24"/>
      <c r="EP134" s="24"/>
      <c r="EQ134" s="24"/>
      <c r="ER134" s="24"/>
      <c r="ES134" s="24"/>
      <c r="ET134" s="24"/>
      <c r="EU134" s="24"/>
      <c r="EV134" s="24"/>
      <c r="EW134" s="24"/>
      <c r="EX134" s="24"/>
      <c r="EY134" s="24"/>
      <c r="EZ134" s="24"/>
      <c r="FA134" s="24"/>
      <c r="FB134" s="24"/>
      <c r="FC134" s="24"/>
      <c r="FD134" s="24"/>
      <c r="FE134" s="24"/>
      <c r="FF134" s="24"/>
      <c r="FG134" s="24"/>
      <c r="FH134" s="24"/>
      <c r="FI134" s="24"/>
      <c r="FJ134" s="24"/>
      <c r="FK134" s="24"/>
      <c r="FL134" s="24"/>
    </row>
    <row r="135" spans="1:168" ht="15.75" customHeight="1">
      <c r="A135" s="176"/>
      <c r="B135" s="177"/>
      <c r="C135" s="177"/>
      <c r="D135" s="177"/>
      <c r="E135" s="177"/>
      <c r="F135" s="177"/>
      <c r="G135" s="178"/>
      <c r="H135" s="179"/>
      <c r="J135" s="185"/>
      <c r="O135" s="182"/>
      <c r="P135" s="182"/>
      <c r="Q135" s="1"/>
      <c r="AC135" s="180"/>
      <c r="AD135" s="180"/>
      <c r="AE135" s="180"/>
      <c r="AJ135" s="191"/>
      <c r="BS135" s="181"/>
      <c r="CC135" s="24"/>
      <c r="CD135" s="24"/>
      <c r="CE135" s="24"/>
      <c r="CF135" s="24"/>
      <c r="CG135" s="24"/>
      <c r="CH135" s="24"/>
      <c r="CI135" s="24"/>
      <c r="CJ135" s="24"/>
      <c r="DE135" s="24"/>
      <c r="DF135" s="24"/>
      <c r="DG135" s="24"/>
      <c r="DH135" s="24"/>
      <c r="DI135" s="24"/>
      <c r="DJ135" s="24"/>
      <c r="DK135" s="24"/>
      <c r="DL135" s="24"/>
      <c r="DM135" s="24"/>
      <c r="DN135" s="24"/>
      <c r="DO135" s="24"/>
      <c r="DP135" s="24"/>
      <c r="DQ135" s="24"/>
      <c r="DR135" s="24"/>
      <c r="DS135" s="24"/>
      <c r="DT135" s="24"/>
      <c r="DU135" s="24"/>
      <c r="DV135" s="24"/>
      <c r="DW135" s="24"/>
      <c r="DX135" s="24"/>
      <c r="DY135" s="24"/>
      <c r="DZ135" s="24"/>
      <c r="EA135" s="24"/>
      <c r="EB135" s="24"/>
      <c r="EC135" s="24"/>
      <c r="ED135" s="24"/>
      <c r="EE135" s="24"/>
      <c r="EF135" s="24"/>
      <c r="EG135" s="24"/>
      <c r="EH135" s="24"/>
      <c r="EI135" s="24"/>
      <c r="EJ135" s="24"/>
      <c r="EK135" s="24"/>
      <c r="EL135" s="24"/>
      <c r="EM135" s="24"/>
      <c r="EN135" s="24"/>
      <c r="EO135" s="24"/>
      <c r="EP135" s="24"/>
      <c r="EQ135" s="24"/>
      <c r="ER135" s="24"/>
      <c r="ES135" s="24"/>
      <c r="ET135" s="24"/>
      <c r="EU135" s="24"/>
      <c r="EV135" s="24"/>
      <c r="EW135" s="24"/>
      <c r="EX135" s="24"/>
      <c r="EY135" s="24"/>
      <c r="EZ135" s="24"/>
      <c r="FA135" s="24"/>
      <c r="FB135" s="24"/>
      <c r="FC135" s="24"/>
      <c r="FD135" s="24"/>
      <c r="FE135" s="24"/>
      <c r="FF135" s="24"/>
      <c r="FG135" s="24"/>
      <c r="FH135" s="24"/>
      <c r="FI135" s="24"/>
      <c r="FJ135" s="24"/>
      <c r="FK135" s="24"/>
      <c r="FL135" s="24"/>
    </row>
    <row r="136" spans="1:168" ht="15.75" customHeight="1">
      <c r="A136" s="176"/>
      <c r="B136" s="177"/>
      <c r="C136" s="177"/>
      <c r="D136" s="177"/>
      <c r="E136" s="177"/>
      <c r="F136" s="177"/>
      <c r="G136" s="178"/>
      <c r="H136" s="179"/>
      <c r="J136" s="185"/>
      <c r="O136" s="182"/>
      <c r="P136" s="182"/>
      <c r="Q136" s="1"/>
      <c r="AC136" s="180"/>
      <c r="AD136" s="180"/>
      <c r="AE136" s="180"/>
      <c r="AJ136" s="191"/>
      <c r="BS136" s="181"/>
      <c r="CC136" s="24"/>
      <c r="CD136" s="24"/>
      <c r="CE136" s="24"/>
      <c r="CF136" s="24"/>
      <c r="CG136" s="24"/>
      <c r="CH136" s="24"/>
      <c r="CI136" s="24"/>
      <c r="CJ136" s="24"/>
      <c r="DE136" s="24"/>
      <c r="DF136" s="24"/>
      <c r="DG136" s="24"/>
      <c r="DH136" s="24"/>
      <c r="DI136" s="24"/>
      <c r="DJ136" s="24"/>
      <c r="DK136" s="24"/>
      <c r="DL136" s="24"/>
      <c r="DM136" s="24"/>
      <c r="DN136" s="24"/>
      <c r="DO136" s="24"/>
      <c r="DP136" s="24"/>
      <c r="DQ136" s="24"/>
      <c r="DR136" s="24"/>
      <c r="DS136" s="24"/>
      <c r="DT136" s="24"/>
      <c r="DU136" s="24"/>
      <c r="DV136" s="24"/>
      <c r="DW136" s="24"/>
      <c r="DX136" s="24"/>
      <c r="DY136" s="24"/>
      <c r="DZ136" s="24"/>
      <c r="EA136" s="24"/>
      <c r="EB136" s="24"/>
      <c r="EC136" s="24"/>
      <c r="ED136" s="24"/>
      <c r="EE136" s="24"/>
      <c r="EF136" s="24"/>
      <c r="EG136" s="24"/>
      <c r="EH136" s="24"/>
      <c r="EI136" s="24"/>
      <c r="EJ136" s="24"/>
      <c r="EK136" s="24"/>
      <c r="EL136" s="24"/>
      <c r="EM136" s="24"/>
      <c r="EN136" s="24"/>
      <c r="EO136" s="24"/>
      <c r="EP136" s="24"/>
      <c r="EQ136" s="24"/>
      <c r="ER136" s="24"/>
      <c r="ES136" s="24"/>
      <c r="ET136" s="24"/>
      <c r="EU136" s="24"/>
      <c r="EV136" s="24"/>
      <c r="EW136" s="24"/>
      <c r="EX136" s="24"/>
      <c r="EY136" s="24"/>
      <c r="EZ136" s="24"/>
      <c r="FA136" s="24"/>
      <c r="FB136" s="24"/>
      <c r="FC136" s="24"/>
      <c r="FD136" s="24"/>
      <c r="FE136" s="24"/>
      <c r="FF136" s="24"/>
      <c r="FG136" s="24"/>
      <c r="FH136" s="24"/>
      <c r="FI136" s="24"/>
      <c r="FJ136" s="24"/>
      <c r="FK136" s="24"/>
      <c r="FL136" s="24"/>
    </row>
    <row r="137" spans="1:168" ht="15.75" customHeight="1">
      <c r="A137" s="176"/>
      <c r="B137" s="177"/>
      <c r="C137" s="177"/>
      <c r="D137" s="177"/>
      <c r="E137" s="177"/>
      <c r="F137" s="177"/>
      <c r="G137" s="178"/>
      <c r="H137" s="179"/>
      <c r="J137" s="185"/>
      <c r="O137" s="182"/>
      <c r="P137" s="182"/>
      <c r="Q137" s="1"/>
      <c r="AC137" s="180"/>
      <c r="AD137" s="180"/>
      <c r="AE137" s="180"/>
      <c r="AJ137" s="191"/>
      <c r="BS137" s="181"/>
      <c r="CC137" s="24"/>
      <c r="CD137" s="24"/>
      <c r="CE137" s="24"/>
      <c r="CF137" s="24"/>
      <c r="CG137" s="24"/>
      <c r="CH137" s="24"/>
      <c r="CI137" s="24"/>
      <c r="CJ137" s="24"/>
      <c r="DE137" s="24"/>
      <c r="DF137" s="24"/>
      <c r="DG137" s="24"/>
      <c r="DH137" s="24"/>
      <c r="DI137" s="24"/>
      <c r="DJ137" s="24"/>
      <c r="DK137" s="24"/>
      <c r="DL137" s="24"/>
      <c r="DM137" s="24"/>
      <c r="DN137" s="24"/>
      <c r="DO137" s="24"/>
      <c r="DP137" s="24"/>
      <c r="DQ137" s="24"/>
      <c r="DR137" s="24"/>
      <c r="DS137" s="24"/>
      <c r="DT137" s="24"/>
      <c r="DU137" s="24"/>
      <c r="DV137" s="24"/>
      <c r="DW137" s="24"/>
      <c r="DX137" s="24"/>
      <c r="DY137" s="24"/>
      <c r="DZ137" s="24"/>
      <c r="EA137" s="24"/>
      <c r="EB137" s="24"/>
      <c r="EC137" s="24"/>
      <c r="ED137" s="24"/>
      <c r="EE137" s="24"/>
      <c r="EF137" s="24"/>
      <c r="EG137" s="24"/>
      <c r="EH137" s="24"/>
      <c r="EI137" s="24"/>
      <c r="EJ137" s="24"/>
      <c r="EK137" s="24"/>
      <c r="EL137" s="24"/>
      <c r="EM137" s="24"/>
      <c r="EN137" s="24"/>
      <c r="EO137" s="24"/>
      <c r="EP137" s="24"/>
      <c r="EQ137" s="24"/>
      <c r="ER137" s="24"/>
      <c r="ES137" s="24"/>
      <c r="ET137" s="24"/>
      <c r="EU137" s="24"/>
      <c r="EV137" s="24"/>
      <c r="EW137" s="24"/>
      <c r="EX137" s="24"/>
      <c r="EY137" s="24"/>
      <c r="EZ137" s="24"/>
      <c r="FA137" s="24"/>
      <c r="FB137" s="24"/>
      <c r="FC137" s="24"/>
      <c r="FD137" s="24"/>
      <c r="FE137" s="24"/>
      <c r="FF137" s="24"/>
      <c r="FG137" s="24"/>
      <c r="FH137" s="24"/>
      <c r="FI137" s="24"/>
      <c r="FJ137" s="24"/>
      <c r="FK137" s="24"/>
      <c r="FL137" s="24"/>
    </row>
    <row r="138" spans="1:168" ht="15.75" customHeight="1">
      <c r="A138" s="176"/>
      <c r="B138" s="177"/>
      <c r="C138" s="177"/>
      <c r="D138" s="177"/>
      <c r="E138" s="177"/>
      <c r="F138" s="177"/>
      <c r="G138" s="178"/>
      <c r="H138" s="179"/>
      <c r="J138" s="185"/>
      <c r="O138" s="182"/>
      <c r="P138" s="182"/>
      <c r="Q138" s="1"/>
      <c r="AC138" s="180"/>
      <c r="AD138" s="180"/>
      <c r="AE138" s="180"/>
      <c r="AJ138" s="191"/>
      <c r="BS138" s="181"/>
      <c r="CC138" s="24"/>
      <c r="CD138" s="24"/>
      <c r="CE138" s="24"/>
      <c r="CF138" s="24"/>
      <c r="CG138" s="24"/>
      <c r="CH138" s="24"/>
      <c r="CI138" s="24"/>
      <c r="CJ138" s="24"/>
      <c r="DE138" s="24"/>
      <c r="DF138" s="24"/>
      <c r="DG138" s="24"/>
      <c r="DH138" s="24"/>
      <c r="DI138" s="24"/>
      <c r="DJ138" s="24"/>
      <c r="DK138" s="24"/>
      <c r="DL138" s="24"/>
      <c r="DM138" s="24"/>
      <c r="DN138" s="24"/>
      <c r="DO138" s="24"/>
      <c r="DP138" s="24"/>
      <c r="DQ138" s="24"/>
      <c r="DR138" s="24"/>
      <c r="DS138" s="24"/>
      <c r="DT138" s="24"/>
      <c r="DU138" s="24"/>
      <c r="DV138" s="24"/>
      <c r="DW138" s="24"/>
      <c r="DX138" s="24"/>
      <c r="DY138" s="24"/>
      <c r="DZ138" s="24"/>
      <c r="EA138" s="24"/>
      <c r="EB138" s="24"/>
      <c r="EC138" s="24"/>
      <c r="ED138" s="24"/>
      <c r="EE138" s="24"/>
      <c r="EF138" s="24"/>
      <c r="EG138" s="24"/>
      <c r="EH138" s="24"/>
      <c r="EI138" s="24"/>
      <c r="EJ138" s="24"/>
      <c r="EK138" s="24"/>
      <c r="EL138" s="24"/>
      <c r="EM138" s="24"/>
      <c r="EN138" s="24"/>
      <c r="EO138" s="24"/>
      <c r="EP138" s="24"/>
      <c r="EQ138" s="24"/>
      <c r="ER138" s="24"/>
      <c r="ES138" s="24"/>
      <c r="ET138" s="24"/>
      <c r="EU138" s="24"/>
      <c r="EV138" s="24"/>
      <c r="EW138" s="24"/>
      <c r="EX138" s="24"/>
      <c r="EY138" s="24"/>
      <c r="EZ138" s="24"/>
      <c r="FA138" s="24"/>
      <c r="FB138" s="24"/>
      <c r="FC138" s="24"/>
      <c r="FD138" s="24"/>
      <c r="FE138" s="24"/>
      <c r="FF138" s="24"/>
      <c r="FG138" s="24"/>
      <c r="FH138" s="24"/>
      <c r="FI138" s="24"/>
      <c r="FJ138" s="24"/>
      <c r="FK138" s="24"/>
      <c r="FL138" s="24"/>
    </row>
    <row r="139" spans="1:168" ht="15.75" customHeight="1">
      <c r="A139" s="176"/>
      <c r="B139" s="177"/>
      <c r="C139" s="177"/>
      <c r="D139" s="177"/>
      <c r="E139" s="177"/>
      <c r="F139" s="177"/>
      <c r="G139" s="178"/>
      <c r="H139" s="179"/>
      <c r="J139" s="185"/>
      <c r="O139" s="182"/>
      <c r="P139" s="182"/>
      <c r="Q139" s="1"/>
      <c r="AC139" s="180"/>
      <c r="AD139" s="180"/>
      <c r="AE139" s="180"/>
      <c r="AJ139" s="191"/>
      <c r="BS139" s="181"/>
      <c r="CC139" s="24"/>
      <c r="CD139" s="24"/>
      <c r="CE139" s="24"/>
      <c r="CF139" s="24"/>
      <c r="CG139" s="24"/>
      <c r="CH139" s="24"/>
      <c r="CI139" s="24"/>
      <c r="CJ139" s="24"/>
      <c r="DE139" s="24"/>
      <c r="DF139" s="24"/>
      <c r="DG139" s="24"/>
      <c r="DH139" s="24"/>
      <c r="DI139" s="24"/>
      <c r="DJ139" s="24"/>
      <c r="DK139" s="24"/>
      <c r="DL139" s="24"/>
      <c r="DM139" s="24"/>
      <c r="DN139" s="24"/>
      <c r="DO139" s="24"/>
      <c r="DP139" s="24"/>
      <c r="DQ139" s="24"/>
      <c r="DR139" s="24"/>
      <c r="DS139" s="24"/>
      <c r="DT139" s="24"/>
      <c r="DU139" s="24"/>
      <c r="DV139" s="24"/>
      <c r="DW139" s="24"/>
      <c r="DX139" s="24"/>
      <c r="DY139" s="24"/>
      <c r="DZ139" s="24"/>
      <c r="EA139" s="24"/>
      <c r="EB139" s="24"/>
      <c r="EC139" s="24"/>
      <c r="ED139" s="24"/>
      <c r="EE139" s="24"/>
      <c r="EF139" s="24"/>
      <c r="EG139" s="24"/>
      <c r="EH139" s="24"/>
      <c r="EI139" s="24"/>
      <c r="EJ139" s="24"/>
      <c r="EK139" s="24"/>
      <c r="EL139" s="24"/>
      <c r="EM139" s="24"/>
      <c r="EN139" s="24"/>
      <c r="EO139" s="24"/>
      <c r="EP139" s="24"/>
      <c r="EQ139" s="24"/>
      <c r="ER139" s="24"/>
      <c r="ES139" s="24"/>
      <c r="ET139" s="24"/>
      <c r="EU139" s="24"/>
      <c r="EV139" s="24"/>
      <c r="EW139" s="24"/>
      <c r="EX139" s="24"/>
      <c r="EY139" s="24"/>
      <c r="EZ139" s="24"/>
      <c r="FA139" s="24"/>
      <c r="FB139" s="24"/>
      <c r="FC139" s="24"/>
      <c r="FD139" s="24"/>
      <c r="FE139" s="24"/>
      <c r="FF139" s="24"/>
      <c r="FG139" s="24"/>
      <c r="FH139" s="24"/>
      <c r="FI139" s="24"/>
      <c r="FJ139" s="24"/>
      <c r="FK139" s="24"/>
      <c r="FL139" s="24"/>
    </row>
    <row r="140" spans="1:168" ht="15.75" customHeight="1">
      <c r="A140" s="176"/>
      <c r="B140" s="177"/>
      <c r="C140" s="177"/>
      <c r="D140" s="177"/>
      <c r="E140" s="177"/>
      <c r="F140" s="177"/>
      <c r="G140" s="178"/>
      <c r="H140" s="179"/>
      <c r="J140" s="185"/>
      <c r="O140" s="182"/>
      <c r="P140" s="182"/>
      <c r="Q140" s="1"/>
      <c r="AC140" s="180"/>
      <c r="AD140" s="180"/>
      <c r="AE140" s="180"/>
      <c r="AJ140" s="191"/>
      <c r="BS140" s="181"/>
      <c r="CC140" s="24"/>
      <c r="CD140" s="24"/>
      <c r="CE140" s="24"/>
      <c r="CF140" s="24"/>
      <c r="CG140" s="24"/>
      <c r="CH140" s="24"/>
      <c r="CI140" s="24"/>
      <c r="CJ140" s="24"/>
      <c r="DE140" s="24"/>
      <c r="DF140" s="24"/>
      <c r="DG140" s="24"/>
      <c r="DH140" s="24"/>
      <c r="DI140" s="24"/>
      <c r="DJ140" s="24"/>
      <c r="DK140" s="24"/>
      <c r="DL140" s="24"/>
      <c r="DM140" s="24"/>
      <c r="DN140" s="24"/>
      <c r="DO140" s="24"/>
      <c r="DP140" s="24"/>
      <c r="DQ140" s="24"/>
      <c r="DR140" s="24"/>
      <c r="DS140" s="24"/>
      <c r="DT140" s="24"/>
      <c r="DU140" s="24"/>
      <c r="DV140" s="24"/>
      <c r="DW140" s="24"/>
      <c r="DX140" s="24"/>
      <c r="DY140" s="24"/>
      <c r="DZ140" s="24"/>
      <c r="EA140" s="24"/>
      <c r="EB140" s="24"/>
      <c r="EC140" s="24"/>
      <c r="ED140" s="24"/>
      <c r="EE140" s="24"/>
      <c r="EF140" s="24"/>
      <c r="EG140" s="24"/>
      <c r="EH140" s="24"/>
      <c r="EI140" s="24"/>
      <c r="EJ140" s="24"/>
      <c r="EK140" s="24"/>
      <c r="EL140" s="24"/>
      <c r="EM140" s="24"/>
      <c r="EN140" s="24"/>
      <c r="EO140" s="24"/>
      <c r="EP140" s="24"/>
      <c r="EQ140" s="24"/>
      <c r="ER140" s="24"/>
      <c r="ES140" s="24"/>
      <c r="ET140" s="24"/>
      <c r="EU140" s="24"/>
      <c r="EV140" s="24"/>
      <c r="EW140" s="24"/>
      <c r="EX140" s="24"/>
      <c r="EY140" s="24"/>
      <c r="EZ140" s="24"/>
      <c r="FA140" s="24"/>
      <c r="FB140" s="24"/>
      <c r="FC140" s="24"/>
      <c r="FD140" s="24"/>
      <c r="FE140" s="24"/>
      <c r="FF140" s="24"/>
      <c r="FG140" s="24"/>
      <c r="FH140" s="24"/>
      <c r="FI140" s="24"/>
      <c r="FJ140" s="24"/>
      <c r="FK140" s="24"/>
      <c r="FL140" s="24"/>
    </row>
    <row r="141" spans="1:168" ht="15.75" customHeight="1">
      <c r="A141" s="176"/>
      <c r="B141" s="177"/>
      <c r="C141" s="177"/>
      <c r="D141" s="177"/>
      <c r="E141" s="177"/>
      <c r="F141" s="177"/>
      <c r="G141" s="178"/>
      <c r="H141" s="179"/>
      <c r="J141" s="185"/>
      <c r="O141" s="182"/>
      <c r="P141" s="182"/>
      <c r="Q141" s="1"/>
      <c r="AC141" s="180"/>
      <c r="AD141" s="180"/>
      <c r="AE141" s="180"/>
      <c r="AJ141" s="191"/>
      <c r="BS141" s="181"/>
      <c r="CC141" s="24"/>
      <c r="CD141" s="24"/>
      <c r="CE141" s="24"/>
      <c r="CF141" s="24"/>
      <c r="CG141" s="24"/>
      <c r="CH141" s="24"/>
      <c r="CI141" s="24"/>
      <c r="CJ141" s="24"/>
      <c r="DE141" s="24"/>
      <c r="DF141" s="24"/>
      <c r="DG141" s="24"/>
      <c r="DH141" s="24"/>
      <c r="DI141" s="24"/>
      <c r="DJ141" s="24"/>
      <c r="DK141" s="24"/>
      <c r="DL141" s="24"/>
      <c r="DM141" s="24"/>
      <c r="DN141" s="24"/>
      <c r="DO141" s="24"/>
      <c r="DP141" s="24"/>
      <c r="DQ141" s="24"/>
      <c r="DR141" s="24"/>
      <c r="DS141" s="24"/>
      <c r="DT141" s="24"/>
      <c r="DU141" s="24"/>
      <c r="DV141" s="24"/>
      <c r="DW141" s="24"/>
      <c r="DX141" s="24"/>
      <c r="DY141" s="24"/>
      <c r="DZ141" s="24"/>
      <c r="EA141" s="24"/>
      <c r="EB141" s="24"/>
      <c r="EC141" s="24"/>
      <c r="ED141" s="24"/>
      <c r="EE141" s="24"/>
      <c r="EF141" s="24"/>
      <c r="EG141" s="24"/>
      <c r="EH141" s="24"/>
      <c r="EI141" s="24"/>
      <c r="EJ141" s="24"/>
      <c r="EK141" s="24"/>
      <c r="EL141" s="24"/>
      <c r="EM141" s="24"/>
      <c r="EN141" s="24"/>
      <c r="EO141" s="24"/>
      <c r="EP141" s="24"/>
      <c r="EQ141" s="24"/>
      <c r="ER141" s="24"/>
      <c r="ES141" s="24"/>
      <c r="ET141" s="24"/>
      <c r="EU141" s="24"/>
      <c r="EV141" s="24"/>
      <c r="EW141" s="24"/>
      <c r="EX141" s="24"/>
      <c r="EY141" s="24"/>
      <c r="EZ141" s="24"/>
      <c r="FA141" s="24"/>
      <c r="FB141" s="24"/>
      <c r="FC141" s="24"/>
      <c r="FD141" s="24"/>
      <c r="FE141" s="24"/>
      <c r="FF141" s="24"/>
      <c r="FG141" s="24"/>
      <c r="FH141" s="24"/>
      <c r="FI141" s="24"/>
      <c r="FJ141" s="24"/>
      <c r="FK141" s="24"/>
      <c r="FL141" s="24"/>
    </row>
    <row r="142" spans="1:168" ht="15.75" customHeight="1">
      <c r="A142" s="176"/>
      <c r="B142" s="177"/>
      <c r="C142" s="177"/>
      <c r="D142" s="177"/>
      <c r="E142" s="177"/>
      <c r="F142" s="177"/>
      <c r="G142" s="178"/>
      <c r="H142" s="179"/>
      <c r="J142" s="185"/>
      <c r="O142" s="182"/>
      <c r="P142" s="182"/>
      <c r="Q142" s="1"/>
      <c r="AC142" s="180"/>
      <c r="AD142" s="180"/>
      <c r="AE142" s="180"/>
      <c r="AJ142" s="191"/>
      <c r="BS142" s="181"/>
      <c r="CC142" s="24"/>
      <c r="CD142" s="24"/>
      <c r="CE142" s="24"/>
      <c r="CF142" s="24"/>
      <c r="CG142" s="24"/>
      <c r="CH142" s="24"/>
      <c r="CI142" s="24"/>
      <c r="CJ142" s="24"/>
      <c r="DE142" s="24"/>
      <c r="DF142" s="24"/>
      <c r="DG142" s="24"/>
      <c r="DH142" s="24"/>
      <c r="DI142" s="24"/>
      <c r="DJ142" s="24"/>
      <c r="DK142" s="24"/>
      <c r="DL142" s="24"/>
      <c r="DM142" s="24"/>
      <c r="DN142" s="24"/>
      <c r="DO142" s="24"/>
      <c r="DP142" s="24"/>
      <c r="DQ142" s="24"/>
      <c r="DR142" s="24"/>
      <c r="DS142" s="24"/>
      <c r="DT142" s="24"/>
      <c r="DU142" s="24"/>
      <c r="DV142" s="24"/>
      <c r="DW142" s="24"/>
      <c r="DX142" s="24"/>
      <c r="DY142" s="24"/>
      <c r="DZ142" s="24"/>
      <c r="EA142" s="24"/>
      <c r="EB142" s="24"/>
      <c r="EC142" s="24"/>
      <c r="ED142" s="24"/>
      <c r="EE142" s="24"/>
      <c r="EF142" s="24"/>
      <c r="EG142" s="24"/>
      <c r="EH142" s="24"/>
      <c r="EI142" s="24"/>
      <c r="EJ142" s="24"/>
      <c r="EK142" s="24"/>
      <c r="EL142" s="24"/>
      <c r="EM142" s="24"/>
      <c r="EN142" s="24"/>
      <c r="EO142" s="24"/>
      <c r="EP142" s="24"/>
      <c r="EQ142" s="24"/>
      <c r="ER142" s="24"/>
      <c r="ES142" s="24"/>
      <c r="ET142" s="24"/>
      <c r="EU142" s="24"/>
      <c r="EV142" s="24"/>
      <c r="EW142" s="24"/>
      <c r="EX142" s="24"/>
      <c r="EY142" s="24"/>
      <c r="EZ142" s="24"/>
      <c r="FA142" s="24"/>
      <c r="FB142" s="24"/>
      <c r="FC142" s="24"/>
      <c r="FD142" s="24"/>
      <c r="FE142" s="24"/>
      <c r="FF142" s="24"/>
      <c r="FG142" s="24"/>
      <c r="FH142" s="24"/>
      <c r="FI142" s="24"/>
      <c r="FJ142" s="24"/>
      <c r="FK142" s="24"/>
      <c r="FL142" s="24"/>
    </row>
    <row r="143" spans="1:168" ht="15.75" customHeight="1">
      <c r="A143" s="176"/>
      <c r="B143" s="177"/>
      <c r="C143" s="177"/>
      <c r="D143" s="177"/>
      <c r="E143" s="177"/>
      <c r="F143" s="177"/>
      <c r="G143" s="178"/>
      <c r="H143" s="179"/>
      <c r="J143" s="185"/>
      <c r="O143" s="182"/>
      <c r="P143" s="182"/>
      <c r="Q143" s="1"/>
      <c r="AC143" s="180"/>
      <c r="AD143" s="180"/>
      <c r="AE143" s="180"/>
      <c r="AJ143" s="191"/>
      <c r="BS143" s="181"/>
      <c r="CC143" s="24"/>
      <c r="CD143" s="24"/>
      <c r="CE143" s="24"/>
      <c r="CF143" s="24"/>
      <c r="CG143" s="24"/>
      <c r="CH143" s="24"/>
      <c r="CI143" s="24"/>
      <c r="CJ143" s="24"/>
      <c r="DE143" s="24"/>
      <c r="DF143" s="24"/>
      <c r="DG143" s="24"/>
      <c r="DH143" s="24"/>
      <c r="DI143" s="24"/>
      <c r="DJ143" s="24"/>
      <c r="DK143" s="24"/>
      <c r="DL143" s="24"/>
      <c r="DM143" s="24"/>
      <c r="DN143" s="24"/>
      <c r="DO143" s="24"/>
      <c r="DP143" s="24"/>
      <c r="DQ143" s="24"/>
      <c r="DR143" s="24"/>
      <c r="DS143" s="24"/>
      <c r="DT143" s="24"/>
      <c r="DU143" s="24"/>
      <c r="DV143" s="24"/>
      <c r="DW143" s="24"/>
      <c r="DX143" s="24"/>
      <c r="DY143" s="24"/>
      <c r="DZ143" s="24"/>
      <c r="EA143" s="24"/>
      <c r="EB143" s="24"/>
      <c r="EC143" s="24"/>
      <c r="ED143" s="24"/>
      <c r="EE143" s="24"/>
      <c r="EF143" s="24"/>
      <c r="EG143" s="24"/>
      <c r="EH143" s="24"/>
      <c r="EI143" s="24"/>
      <c r="EJ143" s="24"/>
      <c r="EK143" s="24"/>
      <c r="EL143" s="24"/>
      <c r="EM143" s="24"/>
      <c r="EN143" s="24"/>
      <c r="EO143" s="24"/>
      <c r="EP143" s="24"/>
      <c r="EQ143" s="24"/>
      <c r="ER143" s="24"/>
      <c r="ES143" s="24"/>
      <c r="ET143" s="24"/>
      <c r="EU143" s="24"/>
      <c r="EV143" s="24"/>
      <c r="EW143" s="24"/>
      <c r="EX143" s="24"/>
      <c r="EY143" s="24"/>
      <c r="EZ143" s="24"/>
      <c r="FA143" s="24"/>
      <c r="FB143" s="24"/>
      <c r="FC143" s="24"/>
      <c r="FD143" s="24"/>
      <c r="FE143" s="24"/>
      <c r="FF143" s="24"/>
      <c r="FG143" s="24"/>
      <c r="FH143" s="24"/>
      <c r="FI143" s="24"/>
      <c r="FJ143" s="24"/>
      <c r="FK143" s="24"/>
      <c r="FL143" s="24"/>
    </row>
    <row r="144" spans="1:168" ht="15.75" customHeight="1">
      <c r="A144" s="176"/>
      <c r="B144" s="177"/>
      <c r="C144" s="177"/>
      <c r="D144" s="177"/>
      <c r="E144" s="177"/>
      <c r="F144" s="177"/>
      <c r="G144" s="178"/>
      <c r="H144" s="179"/>
      <c r="J144" s="185"/>
      <c r="O144" s="182"/>
      <c r="P144" s="182"/>
      <c r="Q144" s="1"/>
      <c r="AC144" s="180"/>
      <c r="AD144" s="180"/>
      <c r="AE144" s="180"/>
      <c r="AJ144" s="191"/>
      <c r="BS144" s="181"/>
      <c r="CC144" s="24"/>
      <c r="CD144" s="24"/>
      <c r="CE144" s="24"/>
      <c r="CF144" s="24"/>
      <c r="CG144" s="24"/>
      <c r="CH144" s="24"/>
      <c r="CI144" s="24"/>
      <c r="CJ144" s="24"/>
      <c r="DE144" s="24"/>
      <c r="DF144" s="24"/>
      <c r="DG144" s="24"/>
      <c r="DH144" s="24"/>
      <c r="DI144" s="24"/>
      <c r="DJ144" s="24"/>
      <c r="DK144" s="24"/>
      <c r="DL144" s="24"/>
      <c r="DM144" s="24"/>
      <c r="DN144" s="24"/>
      <c r="DO144" s="24"/>
      <c r="DP144" s="24"/>
      <c r="DQ144" s="24"/>
      <c r="DR144" s="24"/>
      <c r="DS144" s="24"/>
      <c r="DT144" s="24"/>
      <c r="DU144" s="24"/>
      <c r="DV144" s="24"/>
      <c r="DW144" s="24"/>
      <c r="DX144" s="24"/>
      <c r="DY144" s="24"/>
      <c r="DZ144" s="24"/>
      <c r="EA144" s="24"/>
      <c r="EB144" s="24"/>
      <c r="EC144" s="24"/>
      <c r="ED144" s="24"/>
      <c r="EE144" s="24"/>
      <c r="EF144" s="24"/>
      <c r="EG144" s="24"/>
      <c r="EH144" s="24"/>
      <c r="EI144" s="24"/>
      <c r="EJ144" s="24"/>
      <c r="EK144" s="24"/>
      <c r="EL144" s="24"/>
      <c r="EM144" s="24"/>
      <c r="EN144" s="24"/>
      <c r="EO144" s="24"/>
      <c r="EP144" s="24"/>
      <c r="EQ144" s="24"/>
      <c r="ER144" s="24"/>
      <c r="ES144" s="24"/>
      <c r="ET144" s="24"/>
      <c r="EU144" s="24"/>
      <c r="EV144" s="24"/>
      <c r="EW144" s="24"/>
      <c r="EX144" s="24"/>
      <c r="EY144" s="24"/>
      <c r="EZ144" s="24"/>
      <c r="FA144" s="24"/>
      <c r="FB144" s="24"/>
      <c r="FC144" s="24"/>
      <c r="FD144" s="24"/>
      <c r="FE144" s="24"/>
      <c r="FF144" s="24"/>
      <c r="FG144" s="24"/>
      <c r="FH144" s="24"/>
      <c r="FI144" s="24"/>
      <c r="FJ144" s="24"/>
      <c r="FK144" s="24"/>
      <c r="FL144" s="24"/>
    </row>
    <row r="145" spans="1:168" ht="15.75" customHeight="1">
      <c r="A145" s="176"/>
      <c r="B145" s="177"/>
      <c r="C145" s="177"/>
      <c r="D145" s="177"/>
      <c r="E145" s="177"/>
      <c r="F145" s="177"/>
      <c r="G145" s="178"/>
      <c r="H145" s="179"/>
      <c r="J145" s="185"/>
      <c r="O145" s="182"/>
      <c r="P145" s="182"/>
      <c r="Q145" s="1"/>
      <c r="AC145" s="180"/>
      <c r="AD145" s="180"/>
      <c r="AE145" s="180"/>
      <c r="AJ145" s="191"/>
      <c r="BS145" s="181"/>
      <c r="CC145" s="24"/>
      <c r="CD145" s="24"/>
      <c r="CE145" s="24"/>
      <c r="CF145" s="24"/>
      <c r="CG145" s="24"/>
      <c r="CH145" s="24"/>
      <c r="CI145" s="24"/>
      <c r="CJ145" s="24"/>
      <c r="DE145" s="24"/>
      <c r="DF145" s="24"/>
      <c r="DG145" s="24"/>
      <c r="DH145" s="24"/>
      <c r="DI145" s="24"/>
      <c r="DJ145" s="24"/>
      <c r="DK145" s="24"/>
      <c r="DL145" s="24"/>
      <c r="DM145" s="24"/>
      <c r="DN145" s="24"/>
      <c r="DO145" s="24"/>
      <c r="DP145" s="24"/>
      <c r="DQ145" s="24"/>
      <c r="DR145" s="24"/>
      <c r="DS145" s="24"/>
      <c r="DT145" s="24"/>
      <c r="DU145" s="24"/>
      <c r="DV145" s="24"/>
      <c r="DW145" s="24"/>
      <c r="DX145" s="24"/>
      <c r="DY145" s="24"/>
      <c r="DZ145" s="24"/>
      <c r="EA145" s="24"/>
      <c r="EB145" s="24"/>
      <c r="EC145" s="24"/>
      <c r="ED145" s="24"/>
      <c r="EE145" s="24"/>
      <c r="EF145" s="24"/>
      <c r="EG145" s="24"/>
      <c r="EH145" s="24"/>
      <c r="EI145" s="24"/>
      <c r="EJ145" s="24"/>
      <c r="EK145" s="24"/>
      <c r="EL145" s="24"/>
      <c r="EM145" s="24"/>
      <c r="EN145" s="24"/>
      <c r="EO145" s="24"/>
      <c r="EP145" s="24"/>
      <c r="EQ145" s="24"/>
      <c r="ER145" s="24"/>
      <c r="ES145" s="24"/>
      <c r="ET145" s="24"/>
      <c r="EU145" s="24"/>
      <c r="EV145" s="24"/>
      <c r="EW145" s="24"/>
      <c r="EX145" s="24"/>
      <c r="EY145" s="24"/>
      <c r="EZ145" s="24"/>
      <c r="FA145" s="24"/>
      <c r="FB145" s="24"/>
      <c r="FC145" s="24"/>
      <c r="FD145" s="24"/>
      <c r="FE145" s="24"/>
      <c r="FF145" s="24"/>
      <c r="FG145" s="24"/>
      <c r="FH145" s="24"/>
      <c r="FI145" s="24"/>
      <c r="FJ145" s="24"/>
      <c r="FK145" s="24"/>
      <c r="FL145" s="24"/>
    </row>
    <row r="146" spans="1:168" ht="15.75" customHeight="1">
      <c r="A146" s="176"/>
      <c r="B146" s="177"/>
      <c r="C146" s="177"/>
      <c r="D146" s="177"/>
      <c r="E146" s="177"/>
      <c r="F146" s="177"/>
      <c r="G146" s="178"/>
      <c r="H146" s="179"/>
      <c r="J146" s="185"/>
      <c r="O146" s="182"/>
      <c r="P146" s="182"/>
      <c r="Q146" s="1"/>
      <c r="AC146" s="180"/>
      <c r="AD146" s="180"/>
      <c r="AE146" s="180"/>
      <c r="AJ146" s="191"/>
      <c r="BS146" s="181"/>
      <c r="CC146" s="24"/>
      <c r="CD146" s="24"/>
      <c r="CE146" s="24"/>
      <c r="CF146" s="24"/>
      <c r="CG146" s="24"/>
      <c r="CH146" s="24"/>
      <c r="CI146" s="24"/>
      <c r="CJ146" s="24"/>
      <c r="DE146" s="24"/>
      <c r="DF146" s="24"/>
      <c r="DG146" s="24"/>
      <c r="DH146" s="24"/>
      <c r="DI146" s="24"/>
      <c r="DJ146" s="24"/>
      <c r="DK146" s="24"/>
      <c r="DL146" s="24"/>
      <c r="DM146" s="24"/>
      <c r="DN146" s="24"/>
      <c r="DO146" s="24"/>
      <c r="DP146" s="24"/>
      <c r="DQ146" s="24"/>
      <c r="DR146" s="24"/>
      <c r="DS146" s="24"/>
      <c r="DT146" s="24"/>
      <c r="DU146" s="24"/>
      <c r="DV146" s="24"/>
      <c r="DW146" s="24"/>
      <c r="DX146" s="24"/>
      <c r="DY146" s="24"/>
      <c r="DZ146" s="24"/>
      <c r="EA146" s="24"/>
      <c r="EB146" s="24"/>
      <c r="EC146" s="24"/>
      <c r="ED146" s="24"/>
      <c r="EE146" s="24"/>
      <c r="EF146" s="24"/>
      <c r="EG146" s="24"/>
      <c r="EH146" s="24"/>
      <c r="EI146" s="24"/>
      <c r="EJ146" s="24"/>
      <c r="EK146" s="24"/>
      <c r="EL146" s="24"/>
      <c r="EM146" s="24"/>
      <c r="EN146" s="24"/>
      <c r="EO146" s="24"/>
      <c r="EP146" s="24"/>
      <c r="EQ146" s="24"/>
      <c r="ER146" s="24"/>
      <c r="ES146" s="24"/>
      <c r="ET146" s="24"/>
      <c r="EU146" s="24"/>
      <c r="EV146" s="24"/>
      <c r="EW146" s="24"/>
      <c r="EX146" s="24"/>
      <c r="EY146" s="24"/>
      <c r="EZ146" s="24"/>
      <c r="FA146" s="24"/>
      <c r="FB146" s="24"/>
      <c r="FC146" s="24"/>
      <c r="FD146" s="24"/>
      <c r="FE146" s="24"/>
      <c r="FF146" s="24"/>
      <c r="FG146" s="24"/>
      <c r="FH146" s="24"/>
      <c r="FI146" s="24"/>
      <c r="FJ146" s="24"/>
      <c r="FK146" s="24"/>
      <c r="FL146" s="24"/>
    </row>
    <row r="147" spans="1:168" ht="15.75" customHeight="1">
      <c r="A147" s="176"/>
      <c r="B147" s="177"/>
      <c r="C147" s="177"/>
      <c r="D147" s="177"/>
      <c r="E147" s="177"/>
      <c r="F147" s="177"/>
      <c r="G147" s="178"/>
      <c r="H147" s="179"/>
      <c r="J147" s="185"/>
      <c r="O147" s="182"/>
      <c r="P147" s="182"/>
      <c r="Q147" s="1"/>
      <c r="AC147" s="180"/>
      <c r="AD147" s="180"/>
      <c r="AE147" s="180"/>
      <c r="AJ147" s="191"/>
      <c r="BS147" s="181"/>
      <c r="CC147" s="24"/>
      <c r="CD147" s="24"/>
      <c r="CE147" s="24"/>
      <c r="CF147" s="24"/>
      <c r="CG147" s="24"/>
      <c r="CH147" s="24"/>
      <c r="CI147" s="24"/>
      <c r="CJ147" s="24"/>
      <c r="DE147" s="24"/>
      <c r="DF147" s="24"/>
      <c r="DG147" s="24"/>
      <c r="DH147" s="24"/>
      <c r="DI147" s="24"/>
      <c r="DJ147" s="24"/>
      <c r="DK147" s="24"/>
      <c r="DL147" s="24"/>
      <c r="DM147" s="24"/>
      <c r="DN147" s="24"/>
      <c r="DO147" s="24"/>
      <c r="DP147" s="24"/>
      <c r="DQ147" s="24"/>
      <c r="DR147" s="24"/>
      <c r="DS147" s="24"/>
      <c r="DT147" s="24"/>
      <c r="DU147" s="24"/>
      <c r="DV147" s="24"/>
      <c r="DW147" s="24"/>
      <c r="DX147" s="24"/>
      <c r="DY147" s="24"/>
      <c r="DZ147" s="24"/>
      <c r="EA147" s="24"/>
      <c r="EB147" s="24"/>
      <c r="EC147" s="24"/>
      <c r="ED147" s="24"/>
      <c r="EE147" s="24"/>
      <c r="EF147" s="24"/>
      <c r="EG147" s="24"/>
      <c r="EH147" s="24"/>
      <c r="EI147" s="24"/>
      <c r="EJ147" s="24"/>
      <c r="EK147" s="24"/>
      <c r="EL147" s="24"/>
      <c r="EM147" s="24"/>
      <c r="EN147" s="24"/>
      <c r="EO147" s="24"/>
      <c r="EP147" s="24"/>
      <c r="EQ147" s="24"/>
      <c r="ER147" s="24"/>
      <c r="ES147" s="24"/>
      <c r="ET147" s="24"/>
      <c r="EU147" s="24"/>
      <c r="EV147" s="24"/>
      <c r="EW147" s="24"/>
      <c r="EX147" s="24"/>
      <c r="EY147" s="24"/>
      <c r="EZ147" s="24"/>
      <c r="FA147" s="24"/>
      <c r="FB147" s="24"/>
      <c r="FC147" s="24"/>
      <c r="FD147" s="24"/>
      <c r="FE147" s="24"/>
      <c r="FF147" s="24"/>
      <c r="FG147" s="24"/>
      <c r="FH147" s="24"/>
      <c r="FI147" s="24"/>
      <c r="FJ147" s="24"/>
      <c r="FK147" s="24"/>
      <c r="FL147" s="24"/>
    </row>
    <row r="148" spans="1:168" ht="15.75" customHeight="1">
      <c r="A148" s="176"/>
      <c r="B148" s="177"/>
      <c r="C148" s="177"/>
      <c r="D148" s="177"/>
      <c r="E148" s="177"/>
      <c r="F148" s="177"/>
      <c r="G148" s="178"/>
      <c r="H148" s="179"/>
      <c r="J148" s="185"/>
      <c r="O148" s="182"/>
      <c r="P148" s="182"/>
      <c r="Q148" s="1"/>
      <c r="AC148" s="180"/>
      <c r="AD148" s="180"/>
      <c r="AE148" s="180"/>
      <c r="AJ148" s="191"/>
      <c r="BS148" s="181"/>
      <c r="CC148" s="24"/>
      <c r="CD148" s="24"/>
      <c r="CE148" s="24"/>
      <c r="CF148" s="24"/>
      <c r="CG148" s="24"/>
      <c r="CH148" s="24"/>
      <c r="CI148" s="24"/>
      <c r="CJ148" s="24"/>
      <c r="DE148" s="24"/>
      <c r="DF148" s="24"/>
      <c r="DG148" s="24"/>
      <c r="DH148" s="24"/>
      <c r="DI148" s="24"/>
      <c r="DJ148" s="24"/>
      <c r="DK148" s="24"/>
      <c r="DL148" s="24"/>
      <c r="DM148" s="24"/>
      <c r="DN148" s="24"/>
      <c r="DO148" s="24"/>
      <c r="DP148" s="24"/>
      <c r="DQ148" s="24"/>
      <c r="DR148" s="24"/>
      <c r="DS148" s="24"/>
      <c r="DT148" s="24"/>
      <c r="DU148" s="24"/>
      <c r="DV148" s="24"/>
      <c r="DW148" s="24"/>
      <c r="DX148" s="24"/>
      <c r="DY148" s="24"/>
      <c r="DZ148" s="24"/>
      <c r="EA148" s="24"/>
      <c r="EB148" s="24"/>
      <c r="EC148" s="24"/>
      <c r="ED148" s="24"/>
      <c r="EE148" s="24"/>
      <c r="EF148" s="24"/>
      <c r="EG148" s="24"/>
      <c r="EH148" s="24"/>
      <c r="EI148" s="24"/>
      <c r="EJ148" s="24"/>
      <c r="EK148" s="24"/>
      <c r="EL148" s="24"/>
      <c r="EM148" s="24"/>
      <c r="EN148" s="24"/>
      <c r="EO148" s="24"/>
      <c r="EP148" s="24"/>
      <c r="EQ148" s="24"/>
      <c r="ER148" s="24"/>
      <c r="ES148" s="24"/>
      <c r="ET148" s="24"/>
      <c r="EU148" s="24"/>
      <c r="EV148" s="24"/>
      <c r="EW148" s="24"/>
      <c r="EX148" s="24"/>
      <c r="EY148" s="24"/>
      <c r="EZ148" s="24"/>
      <c r="FA148" s="24"/>
      <c r="FB148" s="24"/>
      <c r="FC148" s="24"/>
      <c r="FD148" s="24"/>
      <c r="FE148" s="24"/>
      <c r="FF148" s="24"/>
      <c r="FG148" s="24"/>
      <c r="FH148" s="24"/>
      <c r="FI148" s="24"/>
      <c r="FJ148" s="24"/>
      <c r="FK148" s="24"/>
      <c r="FL148" s="24"/>
    </row>
    <row r="149" spans="1:168" ht="15.75" customHeight="1">
      <c r="A149" s="176"/>
      <c r="B149" s="177"/>
      <c r="C149" s="177"/>
      <c r="D149" s="177"/>
      <c r="E149" s="177"/>
      <c r="F149" s="177"/>
      <c r="G149" s="178"/>
      <c r="H149" s="179"/>
      <c r="J149" s="185"/>
      <c r="O149" s="182"/>
      <c r="P149" s="182"/>
      <c r="Q149" s="1"/>
      <c r="AC149" s="180"/>
      <c r="AD149" s="180"/>
      <c r="AE149" s="180"/>
      <c r="AJ149" s="191"/>
      <c r="BS149" s="181"/>
      <c r="CC149" s="24"/>
      <c r="CD149" s="24"/>
      <c r="CE149" s="24"/>
      <c r="CF149" s="24"/>
      <c r="CG149" s="24"/>
      <c r="CH149" s="24"/>
      <c r="CI149" s="24"/>
      <c r="CJ149" s="24"/>
      <c r="DE149" s="24"/>
      <c r="DF149" s="24"/>
      <c r="DG149" s="24"/>
      <c r="DH149" s="24"/>
      <c r="DI149" s="24"/>
      <c r="DJ149" s="24"/>
      <c r="DK149" s="24"/>
      <c r="DL149" s="24"/>
      <c r="DM149" s="24"/>
      <c r="DN149" s="24"/>
      <c r="DO149" s="24"/>
      <c r="DP149" s="24"/>
      <c r="DQ149" s="24"/>
      <c r="DR149" s="24"/>
      <c r="DS149" s="24"/>
      <c r="DT149" s="24"/>
      <c r="DU149" s="24"/>
      <c r="DV149" s="24"/>
      <c r="DW149" s="24"/>
      <c r="DX149" s="24"/>
      <c r="DY149" s="24"/>
      <c r="DZ149" s="24"/>
      <c r="EA149" s="24"/>
      <c r="EB149" s="24"/>
      <c r="EC149" s="24"/>
      <c r="ED149" s="24"/>
      <c r="EE149" s="24"/>
      <c r="EF149" s="24"/>
      <c r="EG149" s="24"/>
      <c r="EH149" s="24"/>
      <c r="EI149" s="24"/>
      <c r="EJ149" s="24"/>
      <c r="EK149" s="24"/>
      <c r="EL149" s="24"/>
      <c r="EM149" s="24"/>
      <c r="EN149" s="24"/>
      <c r="EO149" s="24"/>
      <c r="EP149" s="24"/>
      <c r="EQ149" s="24"/>
      <c r="ER149" s="24"/>
      <c r="ES149" s="24"/>
      <c r="ET149" s="24"/>
      <c r="EU149" s="24"/>
      <c r="EV149" s="24"/>
      <c r="EW149" s="24"/>
      <c r="EX149" s="24"/>
      <c r="EY149" s="24"/>
      <c r="EZ149" s="24"/>
      <c r="FA149" s="24"/>
      <c r="FB149" s="24"/>
      <c r="FC149" s="24"/>
      <c r="FD149" s="24"/>
      <c r="FE149" s="24"/>
      <c r="FF149" s="24"/>
      <c r="FG149" s="24"/>
      <c r="FH149" s="24"/>
      <c r="FI149" s="24"/>
      <c r="FJ149" s="24"/>
      <c r="FK149" s="24"/>
      <c r="FL149" s="24"/>
    </row>
    <row r="150" spans="1:168" ht="15.75" customHeight="1">
      <c r="A150" s="176"/>
      <c r="B150" s="177"/>
      <c r="C150" s="177"/>
      <c r="D150" s="177"/>
      <c r="E150" s="177"/>
      <c r="F150" s="177"/>
      <c r="G150" s="178"/>
      <c r="H150" s="179"/>
      <c r="J150" s="185"/>
      <c r="O150" s="182"/>
      <c r="P150" s="182"/>
      <c r="Q150" s="1"/>
      <c r="AC150" s="180"/>
      <c r="AD150" s="180"/>
      <c r="AE150" s="180"/>
      <c r="AJ150" s="191"/>
      <c r="BS150" s="181"/>
      <c r="CC150" s="24"/>
      <c r="CD150" s="24"/>
      <c r="CE150" s="24"/>
      <c r="CF150" s="24"/>
      <c r="CG150" s="24"/>
      <c r="CH150" s="24"/>
      <c r="CI150" s="24"/>
      <c r="CJ150" s="24"/>
      <c r="DE150" s="24"/>
      <c r="DF150" s="24"/>
      <c r="DG150" s="24"/>
      <c r="DH150" s="24"/>
      <c r="DI150" s="24"/>
      <c r="DJ150" s="24"/>
      <c r="DK150" s="24"/>
      <c r="DL150" s="24"/>
      <c r="DM150" s="24"/>
      <c r="DN150" s="24"/>
      <c r="DO150" s="24"/>
      <c r="DP150" s="24"/>
      <c r="DQ150" s="24"/>
      <c r="DR150" s="24"/>
      <c r="DS150" s="24"/>
      <c r="DT150" s="24"/>
      <c r="DU150" s="24"/>
      <c r="DV150" s="24"/>
      <c r="DW150" s="24"/>
      <c r="DX150" s="24"/>
      <c r="DY150" s="24"/>
      <c r="DZ150" s="24"/>
      <c r="EA150" s="24"/>
      <c r="EB150" s="24"/>
      <c r="EC150" s="24"/>
      <c r="ED150" s="24"/>
      <c r="EE150" s="24"/>
      <c r="EF150" s="24"/>
      <c r="EG150" s="24"/>
      <c r="EH150" s="24"/>
      <c r="EI150" s="24"/>
      <c r="EJ150" s="24"/>
      <c r="EK150" s="24"/>
      <c r="EL150" s="24"/>
      <c r="EM150" s="24"/>
      <c r="EN150" s="24"/>
      <c r="EO150" s="24"/>
      <c r="EP150" s="24"/>
      <c r="EQ150" s="24"/>
      <c r="ER150" s="24"/>
      <c r="ES150" s="24"/>
      <c r="ET150" s="24"/>
      <c r="EU150" s="24"/>
      <c r="EV150" s="24"/>
      <c r="EW150" s="24"/>
      <c r="EX150" s="24"/>
      <c r="EY150" s="24"/>
      <c r="EZ150" s="24"/>
      <c r="FA150" s="24"/>
      <c r="FB150" s="24"/>
      <c r="FC150" s="24"/>
      <c r="FD150" s="24"/>
      <c r="FE150" s="24"/>
      <c r="FF150" s="24"/>
      <c r="FG150" s="24"/>
      <c r="FH150" s="24"/>
      <c r="FI150" s="24"/>
      <c r="FJ150" s="24"/>
      <c r="FK150" s="24"/>
      <c r="FL150" s="24"/>
    </row>
    <row r="151" spans="1:168" ht="15.75" customHeight="1">
      <c r="A151" s="176"/>
      <c r="B151" s="177"/>
      <c r="C151" s="177"/>
      <c r="D151" s="177"/>
      <c r="E151" s="177"/>
      <c r="F151" s="177"/>
      <c r="G151" s="178"/>
      <c r="H151" s="179"/>
      <c r="J151" s="185"/>
      <c r="O151" s="182"/>
      <c r="P151" s="182"/>
      <c r="Q151" s="1"/>
      <c r="AC151" s="180"/>
      <c r="AD151" s="180"/>
      <c r="AE151" s="180"/>
      <c r="AJ151" s="191"/>
      <c r="BS151" s="181"/>
      <c r="CC151" s="24"/>
      <c r="CD151" s="24"/>
      <c r="CE151" s="24"/>
      <c r="CF151" s="24"/>
      <c r="CG151" s="24"/>
      <c r="CH151" s="24"/>
      <c r="CI151" s="24"/>
      <c r="CJ151" s="24"/>
      <c r="DE151" s="24"/>
      <c r="DF151" s="24"/>
      <c r="DG151" s="24"/>
      <c r="DH151" s="24"/>
      <c r="DI151" s="24"/>
      <c r="DJ151" s="24"/>
      <c r="DK151" s="24"/>
      <c r="DL151" s="24"/>
      <c r="DM151" s="24"/>
      <c r="DN151" s="24"/>
      <c r="DO151" s="24"/>
      <c r="DP151" s="24"/>
      <c r="DQ151" s="24"/>
      <c r="DR151" s="24"/>
      <c r="DS151" s="24"/>
      <c r="DT151" s="24"/>
      <c r="DU151" s="24"/>
      <c r="DV151" s="24"/>
      <c r="DW151" s="24"/>
      <c r="DX151" s="24"/>
      <c r="DY151" s="24"/>
      <c r="DZ151" s="24"/>
      <c r="EA151" s="24"/>
      <c r="EB151" s="24"/>
      <c r="EC151" s="24"/>
      <c r="ED151" s="24"/>
      <c r="EE151" s="24"/>
      <c r="EF151" s="24"/>
      <c r="EG151" s="24"/>
      <c r="EH151" s="24"/>
      <c r="EI151" s="24"/>
      <c r="EJ151" s="24"/>
      <c r="EK151" s="24"/>
      <c r="EL151" s="24"/>
      <c r="EM151" s="24"/>
      <c r="EN151" s="24"/>
      <c r="EO151" s="24"/>
      <c r="EP151" s="24"/>
      <c r="EQ151" s="24"/>
      <c r="ER151" s="24"/>
      <c r="ES151" s="24"/>
      <c r="ET151" s="24"/>
      <c r="EU151" s="24"/>
      <c r="EV151" s="24"/>
      <c r="EW151" s="24"/>
      <c r="EX151" s="24"/>
      <c r="EY151" s="24"/>
      <c r="EZ151" s="24"/>
      <c r="FA151" s="24"/>
      <c r="FB151" s="24"/>
      <c r="FC151" s="24"/>
      <c r="FD151" s="24"/>
      <c r="FE151" s="24"/>
      <c r="FF151" s="24"/>
      <c r="FG151" s="24"/>
      <c r="FH151" s="24"/>
      <c r="FI151" s="24"/>
      <c r="FJ151" s="24"/>
      <c r="FK151" s="24"/>
      <c r="FL151" s="24"/>
    </row>
    <row r="152" spans="1:168" ht="15.75" customHeight="1">
      <c r="A152" s="176"/>
      <c r="B152" s="177"/>
      <c r="C152" s="177"/>
      <c r="D152" s="177"/>
      <c r="E152" s="177"/>
      <c r="F152" s="177"/>
      <c r="G152" s="178"/>
      <c r="H152" s="179"/>
      <c r="J152" s="185"/>
      <c r="O152" s="182"/>
      <c r="P152" s="182"/>
      <c r="Q152" s="1"/>
      <c r="AC152" s="180"/>
      <c r="AD152" s="180"/>
      <c r="AE152" s="180"/>
      <c r="AJ152" s="191"/>
      <c r="BS152" s="181"/>
      <c r="CC152" s="24"/>
      <c r="CD152" s="24"/>
      <c r="CE152" s="24"/>
      <c r="CF152" s="24"/>
      <c r="CG152" s="24"/>
      <c r="CH152" s="24"/>
      <c r="CI152" s="24"/>
      <c r="CJ152" s="24"/>
      <c r="DE152" s="24"/>
      <c r="DF152" s="24"/>
      <c r="DG152" s="24"/>
      <c r="DH152" s="24"/>
      <c r="DI152" s="24"/>
      <c r="DJ152" s="24"/>
      <c r="DK152" s="24"/>
      <c r="DL152" s="24"/>
      <c r="DM152" s="24"/>
      <c r="DN152" s="24"/>
      <c r="DO152" s="24"/>
      <c r="DP152" s="24"/>
      <c r="DQ152" s="24"/>
      <c r="DR152" s="24"/>
      <c r="DS152" s="24"/>
      <c r="DT152" s="24"/>
      <c r="DU152" s="24"/>
      <c r="DV152" s="24"/>
      <c r="DW152" s="24"/>
      <c r="DX152" s="24"/>
      <c r="DY152" s="24"/>
      <c r="DZ152" s="24"/>
      <c r="EA152" s="24"/>
      <c r="EB152" s="24"/>
      <c r="EC152" s="24"/>
      <c r="ED152" s="24"/>
      <c r="EE152" s="24"/>
      <c r="EF152" s="24"/>
      <c r="EG152" s="24"/>
      <c r="EH152" s="24"/>
      <c r="EI152" s="24"/>
      <c r="EJ152" s="24"/>
      <c r="EK152" s="24"/>
      <c r="EL152" s="24"/>
      <c r="EM152" s="24"/>
      <c r="EN152" s="24"/>
      <c r="EO152" s="24"/>
      <c r="EP152" s="24"/>
      <c r="EQ152" s="24"/>
      <c r="ER152" s="24"/>
      <c r="ES152" s="24"/>
      <c r="ET152" s="24"/>
      <c r="EU152" s="24"/>
      <c r="EV152" s="24"/>
      <c r="EW152" s="24"/>
      <c r="EX152" s="24"/>
      <c r="EY152" s="24"/>
      <c r="EZ152" s="24"/>
      <c r="FA152" s="24"/>
      <c r="FB152" s="24"/>
      <c r="FC152" s="24"/>
      <c r="FD152" s="24"/>
      <c r="FE152" s="24"/>
      <c r="FF152" s="24"/>
      <c r="FG152" s="24"/>
      <c r="FH152" s="24"/>
      <c r="FI152" s="24"/>
      <c r="FJ152" s="24"/>
      <c r="FK152" s="24"/>
      <c r="FL152" s="24"/>
    </row>
    <row r="153" spans="1:168" ht="15.75" customHeight="1">
      <c r="A153" s="176"/>
      <c r="B153" s="177"/>
      <c r="C153" s="177"/>
      <c r="D153" s="177"/>
      <c r="E153" s="177"/>
      <c r="F153" s="177"/>
      <c r="G153" s="178"/>
      <c r="H153" s="179"/>
      <c r="J153" s="185"/>
      <c r="O153" s="182"/>
      <c r="P153" s="182"/>
      <c r="Q153" s="1"/>
      <c r="AC153" s="180"/>
      <c r="AD153" s="180"/>
      <c r="AE153" s="180"/>
      <c r="AJ153" s="191"/>
      <c r="BS153" s="181"/>
      <c r="CC153" s="24"/>
      <c r="CD153" s="24"/>
      <c r="CE153" s="24"/>
      <c r="CF153" s="24"/>
      <c r="CG153" s="24"/>
      <c r="CH153" s="24"/>
      <c r="CI153" s="24"/>
      <c r="CJ153" s="24"/>
      <c r="DE153" s="24"/>
      <c r="DF153" s="24"/>
      <c r="DG153" s="24"/>
      <c r="DH153" s="24"/>
      <c r="DI153" s="24"/>
      <c r="DJ153" s="24"/>
      <c r="DK153" s="24"/>
      <c r="DL153" s="24"/>
      <c r="DM153" s="24"/>
      <c r="DN153" s="24"/>
      <c r="DO153" s="24"/>
      <c r="DP153" s="24"/>
      <c r="DQ153" s="24"/>
      <c r="DR153" s="24"/>
      <c r="DS153" s="24"/>
      <c r="DT153" s="24"/>
      <c r="DU153" s="24"/>
      <c r="DV153" s="24"/>
      <c r="DW153" s="24"/>
      <c r="DX153" s="24"/>
      <c r="DY153" s="24"/>
      <c r="DZ153" s="24"/>
      <c r="EA153" s="24"/>
      <c r="EB153" s="24"/>
      <c r="EC153" s="24"/>
      <c r="ED153" s="24"/>
      <c r="EE153" s="24"/>
      <c r="EF153" s="24"/>
      <c r="EG153" s="24"/>
      <c r="EH153" s="24"/>
      <c r="EI153" s="24"/>
      <c r="EJ153" s="24"/>
      <c r="EK153" s="24"/>
      <c r="EL153" s="24"/>
      <c r="EM153" s="24"/>
      <c r="EN153" s="24"/>
      <c r="EO153" s="24"/>
      <c r="EP153" s="24"/>
      <c r="EQ153" s="24"/>
      <c r="ER153" s="24"/>
      <c r="ES153" s="24"/>
      <c r="ET153" s="24"/>
      <c r="EU153" s="24"/>
      <c r="EV153" s="24"/>
      <c r="EW153" s="24"/>
      <c r="EX153" s="24"/>
      <c r="EY153" s="24"/>
      <c r="EZ153" s="24"/>
      <c r="FA153" s="24"/>
      <c r="FB153" s="24"/>
      <c r="FC153" s="24"/>
      <c r="FD153" s="24"/>
      <c r="FE153" s="24"/>
      <c r="FF153" s="24"/>
      <c r="FG153" s="24"/>
      <c r="FH153" s="24"/>
      <c r="FI153" s="24"/>
      <c r="FJ153" s="24"/>
      <c r="FK153" s="24"/>
      <c r="FL153" s="24"/>
    </row>
    <row r="154" spans="1:168" ht="15.75" customHeight="1">
      <c r="A154" s="176"/>
      <c r="B154" s="177"/>
      <c r="C154" s="177"/>
      <c r="D154" s="177"/>
      <c r="E154" s="177"/>
      <c r="F154" s="177"/>
      <c r="G154" s="178"/>
      <c r="H154" s="179"/>
      <c r="J154" s="185"/>
      <c r="O154" s="182"/>
      <c r="P154" s="182"/>
      <c r="Q154" s="1"/>
      <c r="AC154" s="180"/>
      <c r="AD154" s="180"/>
      <c r="AE154" s="180"/>
      <c r="AJ154" s="191"/>
      <c r="BS154" s="181"/>
      <c r="CC154" s="24"/>
      <c r="CD154" s="24"/>
      <c r="CE154" s="24"/>
      <c r="CF154" s="24"/>
      <c r="CG154" s="24"/>
      <c r="CH154" s="24"/>
      <c r="CI154" s="24"/>
      <c r="CJ154" s="24"/>
      <c r="DE154" s="24"/>
      <c r="DF154" s="24"/>
      <c r="DG154" s="24"/>
      <c r="DH154" s="24"/>
      <c r="DI154" s="24"/>
      <c r="DJ154" s="24"/>
      <c r="DK154" s="24"/>
      <c r="DL154" s="24"/>
      <c r="DM154" s="24"/>
      <c r="DN154" s="24"/>
      <c r="DO154" s="24"/>
      <c r="DP154" s="24"/>
      <c r="DQ154" s="24"/>
      <c r="DR154" s="24"/>
      <c r="DS154" s="24"/>
      <c r="DT154" s="24"/>
      <c r="DU154" s="24"/>
      <c r="DV154" s="24"/>
      <c r="DW154" s="24"/>
      <c r="DX154" s="24"/>
      <c r="DY154" s="24"/>
      <c r="DZ154" s="24"/>
      <c r="EA154" s="24"/>
      <c r="EB154" s="24"/>
      <c r="EC154" s="24"/>
      <c r="ED154" s="24"/>
      <c r="EE154" s="24"/>
      <c r="EF154" s="24"/>
      <c r="EG154" s="24"/>
      <c r="EH154" s="24"/>
      <c r="EI154" s="24"/>
      <c r="EJ154" s="24"/>
      <c r="EK154" s="24"/>
      <c r="EL154" s="24"/>
      <c r="EM154" s="24"/>
      <c r="EN154" s="24"/>
      <c r="EO154" s="24"/>
      <c r="EP154" s="24"/>
      <c r="EQ154" s="24"/>
      <c r="ER154" s="24"/>
      <c r="ES154" s="24"/>
      <c r="ET154" s="24"/>
      <c r="EU154" s="24"/>
      <c r="EV154" s="24"/>
      <c r="EW154" s="24"/>
      <c r="EX154" s="24"/>
      <c r="EY154" s="24"/>
      <c r="EZ154" s="24"/>
      <c r="FA154" s="24"/>
      <c r="FB154" s="24"/>
      <c r="FC154" s="24"/>
      <c r="FD154" s="24"/>
      <c r="FE154" s="24"/>
      <c r="FF154" s="24"/>
      <c r="FG154" s="24"/>
      <c r="FH154" s="24"/>
      <c r="FI154" s="24"/>
      <c r="FJ154" s="24"/>
      <c r="FK154" s="24"/>
      <c r="FL154" s="24"/>
    </row>
    <row r="155" spans="1:168" ht="15.75" customHeight="1">
      <c r="A155" s="176"/>
      <c r="B155" s="177"/>
      <c r="C155" s="177"/>
      <c r="D155" s="177"/>
      <c r="E155" s="177"/>
      <c r="F155" s="177"/>
      <c r="G155" s="178"/>
      <c r="H155" s="179"/>
      <c r="J155" s="185"/>
      <c r="O155" s="182"/>
      <c r="P155" s="182"/>
      <c r="Q155" s="1"/>
      <c r="AC155" s="180"/>
      <c r="AD155" s="180"/>
      <c r="AE155" s="180"/>
      <c r="AJ155" s="191"/>
      <c r="BS155" s="181"/>
      <c r="CC155" s="24"/>
      <c r="CD155" s="24"/>
      <c r="CE155" s="24"/>
      <c r="CF155" s="24"/>
      <c r="CG155" s="24"/>
      <c r="CH155" s="24"/>
      <c r="CI155" s="24"/>
      <c r="CJ155" s="24"/>
      <c r="DE155" s="24"/>
      <c r="DF155" s="24"/>
      <c r="DG155" s="24"/>
      <c r="DH155" s="24"/>
      <c r="DI155" s="24"/>
      <c r="DJ155" s="24"/>
      <c r="DK155" s="24"/>
      <c r="DL155" s="24"/>
      <c r="DM155" s="24"/>
      <c r="DN155" s="24"/>
      <c r="DO155" s="24"/>
      <c r="DP155" s="24"/>
      <c r="DQ155" s="24"/>
      <c r="DR155" s="24"/>
      <c r="DS155" s="24"/>
      <c r="DT155" s="24"/>
      <c r="DU155" s="24"/>
      <c r="DV155" s="24"/>
      <c r="DW155" s="24"/>
      <c r="DX155" s="24"/>
      <c r="DY155" s="24"/>
      <c r="DZ155" s="24"/>
      <c r="EA155" s="24"/>
      <c r="EB155" s="24"/>
      <c r="EC155" s="24"/>
      <c r="ED155" s="24"/>
      <c r="EE155" s="24"/>
      <c r="EF155" s="24"/>
      <c r="EG155" s="24"/>
      <c r="EH155" s="24"/>
      <c r="EI155" s="24"/>
      <c r="EJ155" s="24"/>
      <c r="EK155" s="24"/>
      <c r="EL155" s="24"/>
      <c r="EM155" s="24"/>
      <c r="EN155" s="24"/>
      <c r="EO155" s="24"/>
      <c r="EP155" s="24"/>
      <c r="EQ155" s="24"/>
      <c r="ER155" s="24"/>
      <c r="ES155" s="24"/>
      <c r="ET155" s="24"/>
      <c r="EU155" s="24"/>
      <c r="EV155" s="24"/>
      <c r="EW155" s="24"/>
      <c r="EX155" s="24"/>
      <c r="EY155" s="24"/>
      <c r="EZ155" s="24"/>
      <c r="FA155" s="24"/>
      <c r="FB155" s="24"/>
      <c r="FC155" s="24"/>
      <c r="FD155" s="24"/>
      <c r="FE155" s="24"/>
      <c r="FF155" s="24"/>
      <c r="FG155" s="24"/>
      <c r="FH155" s="24"/>
      <c r="FI155" s="24"/>
      <c r="FJ155" s="24"/>
      <c r="FK155" s="24"/>
      <c r="FL155" s="24"/>
    </row>
    <row r="156" spans="1:168" ht="15.75" customHeight="1">
      <c r="A156" s="176"/>
      <c r="B156" s="177"/>
      <c r="C156" s="177"/>
      <c r="D156" s="177"/>
      <c r="E156" s="177"/>
      <c r="F156" s="177"/>
      <c r="G156" s="178"/>
      <c r="H156" s="179"/>
      <c r="J156" s="185"/>
      <c r="O156" s="182"/>
      <c r="P156" s="182"/>
      <c r="Q156" s="1"/>
      <c r="AC156" s="180"/>
      <c r="AD156" s="180"/>
      <c r="AE156" s="180"/>
      <c r="AJ156" s="191"/>
      <c r="BS156" s="181"/>
      <c r="CC156" s="24"/>
      <c r="CD156" s="24"/>
      <c r="CE156" s="24"/>
      <c r="CF156" s="24"/>
      <c r="CG156" s="24"/>
      <c r="CH156" s="24"/>
      <c r="CI156" s="24"/>
      <c r="CJ156" s="24"/>
      <c r="DE156" s="24"/>
      <c r="DF156" s="24"/>
      <c r="DG156" s="24"/>
      <c r="DH156" s="24"/>
      <c r="DI156" s="24"/>
      <c r="DJ156" s="24"/>
      <c r="DK156" s="24"/>
      <c r="DL156" s="24"/>
      <c r="DM156" s="24"/>
      <c r="DN156" s="24"/>
      <c r="DO156" s="24"/>
      <c r="DP156" s="24"/>
      <c r="DQ156" s="24"/>
      <c r="DR156" s="24"/>
      <c r="DS156" s="24"/>
      <c r="DT156" s="24"/>
      <c r="DU156" s="24"/>
      <c r="DV156" s="24"/>
      <c r="DW156" s="24"/>
      <c r="DX156" s="24"/>
      <c r="DY156" s="24"/>
      <c r="DZ156" s="24"/>
      <c r="EA156" s="24"/>
      <c r="EB156" s="24"/>
      <c r="EC156" s="24"/>
      <c r="ED156" s="24"/>
      <c r="EE156" s="24"/>
      <c r="EF156" s="24"/>
      <c r="EG156" s="24"/>
      <c r="EH156" s="24"/>
      <c r="EI156" s="24"/>
      <c r="EJ156" s="24"/>
      <c r="EK156" s="24"/>
      <c r="EL156" s="24"/>
      <c r="EM156" s="24"/>
      <c r="EN156" s="24"/>
      <c r="EO156" s="24"/>
      <c r="EP156" s="24"/>
      <c r="EQ156" s="24"/>
      <c r="ER156" s="24"/>
      <c r="ES156" s="24"/>
      <c r="ET156" s="24"/>
      <c r="EU156" s="24"/>
      <c r="EV156" s="24"/>
      <c r="EW156" s="24"/>
      <c r="EX156" s="24"/>
      <c r="EY156" s="24"/>
      <c r="EZ156" s="24"/>
      <c r="FA156" s="24"/>
      <c r="FB156" s="24"/>
      <c r="FC156" s="24"/>
      <c r="FD156" s="24"/>
      <c r="FE156" s="24"/>
      <c r="FF156" s="24"/>
      <c r="FG156" s="24"/>
      <c r="FH156" s="24"/>
      <c r="FI156" s="24"/>
      <c r="FJ156" s="24"/>
      <c r="FK156" s="24"/>
      <c r="FL156" s="24"/>
    </row>
    <row r="157" spans="1:168" ht="15.75" customHeight="1">
      <c r="A157" s="176"/>
      <c r="B157" s="177"/>
      <c r="C157" s="177"/>
      <c r="D157" s="177"/>
      <c r="E157" s="177"/>
      <c r="F157" s="177"/>
      <c r="G157" s="178"/>
      <c r="H157" s="179"/>
      <c r="J157" s="185"/>
      <c r="O157" s="182"/>
      <c r="P157" s="182"/>
      <c r="Q157" s="1"/>
      <c r="AC157" s="180"/>
      <c r="AD157" s="180"/>
      <c r="AE157" s="180"/>
      <c r="AJ157" s="191"/>
      <c r="BS157" s="181"/>
      <c r="CC157" s="24"/>
      <c r="CD157" s="24"/>
      <c r="CE157" s="24"/>
      <c r="CF157" s="24"/>
      <c r="CG157" s="24"/>
      <c r="CH157" s="24"/>
      <c r="CI157" s="24"/>
      <c r="CJ157" s="24"/>
      <c r="DE157" s="24"/>
      <c r="DF157" s="24"/>
      <c r="DG157" s="24"/>
      <c r="DH157" s="24"/>
      <c r="DI157" s="24"/>
      <c r="DJ157" s="24"/>
      <c r="DK157" s="24"/>
      <c r="DL157" s="24"/>
      <c r="DM157" s="24"/>
      <c r="DN157" s="24"/>
      <c r="DO157" s="24"/>
      <c r="DP157" s="24"/>
      <c r="DQ157" s="24"/>
      <c r="DR157" s="24"/>
      <c r="DS157" s="24"/>
      <c r="DT157" s="24"/>
      <c r="DU157" s="24"/>
      <c r="DV157" s="24"/>
      <c r="DW157" s="24"/>
      <c r="DX157" s="24"/>
      <c r="DY157" s="24"/>
      <c r="DZ157" s="24"/>
      <c r="EA157" s="24"/>
      <c r="EB157" s="24"/>
      <c r="EC157" s="24"/>
      <c r="ED157" s="24"/>
      <c r="EE157" s="24"/>
      <c r="EF157" s="24"/>
      <c r="EG157" s="24"/>
      <c r="EH157" s="24"/>
      <c r="EI157" s="24"/>
      <c r="EJ157" s="24"/>
      <c r="EK157" s="24"/>
      <c r="EL157" s="24"/>
      <c r="EM157" s="24"/>
      <c r="EN157" s="24"/>
      <c r="EO157" s="24"/>
      <c r="EP157" s="24"/>
      <c r="EQ157" s="24"/>
      <c r="ER157" s="24"/>
      <c r="ES157" s="24"/>
      <c r="ET157" s="24"/>
      <c r="EU157" s="24"/>
      <c r="EV157" s="24"/>
      <c r="EW157" s="24"/>
      <c r="EX157" s="24"/>
      <c r="EY157" s="24"/>
      <c r="EZ157" s="24"/>
      <c r="FA157" s="24"/>
      <c r="FB157" s="24"/>
      <c r="FC157" s="24"/>
      <c r="FD157" s="24"/>
      <c r="FE157" s="24"/>
      <c r="FF157" s="24"/>
      <c r="FG157" s="24"/>
      <c r="FH157" s="24"/>
      <c r="FI157" s="24"/>
      <c r="FJ157" s="24"/>
      <c r="FK157" s="24"/>
      <c r="FL157" s="24"/>
    </row>
    <row r="158" spans="1:168" ht="15.75" customHeight="1">
      <c r="A158" s="176"/>
      <c r="B158" s="177"/>
      <c r="C158" s="177"/>
      <c r="D158" s="177"/>
      <c r="E158" s="177"/>
      <c r="F158" s="177"/>
      <c r="G158" s="178"/>
      <c r="H158" s="179"/>
      <c r="J158" s="185"/>
      <c r="O158" s="182"/>
      <c r="P158" s="182"/>
      <c r="Q158" s="1"/>
      <c r="AC158" s="180"/>
      <c r="AD158" s="180"/>
      <c r="AE158" s="180"/>
      <c r="AJ158" s="191"/>
      <c r="BS158" s="181"/>
      <c r="CC158" s="24"/>
      <c r="CD158" s="24"/>
      <c r="CE158" s="24"/>
      <c r="CF158" s="24"/>
      <c r="CG158" s="24"/>
      <c r="CH158" s="24"/>
      <c r="CI158" s="24"/>
      <c r="CJ158" s="24"/>
      <c r="DE158" s="24"/>
      <c r="DF158" s="24"/>
      <c r="DG158" s="24"/>
      <c r="DH158" s="24"/>
      <c r="DI158" s="24"/>
      <c r="DJ158" s="24"/>
      <c r="DK158" s="24"/>
      <c r="DL158" s="24"/>
      <c r="DM158" s="24"/>
      <c r="DN158" s="24"/>
      <c r="DO158" s="24"/>
      <c r="DP158" s="24"/>
      <c r="DQ158" s="24"/>
      <c r="DR158" s="24"/>
      <c r="DS158" s="24"/>
      <c r="DT158" s="24"/>
      <c r="DU158" s="24"/>
      <c r="DV158" s="24"/>
      <c r="DW158" s="24"/>
      <c r="DX158" s="24"/>
      <c r="DY158" s="24"/>
      <c r="DZ158" s="24"/>
      <c r="EA158" s="24"/>
      <c r="EB158" s="24"/>
      <c r="EC158" s="24"/>
      <c r="ED158" s="24"/>
      <c r="EE158" s="24"/>
      <c r="EF158" s="24"/>
      <c r="EG158" s="24"/>
      <c r="EH158" s="24"/>
      <c r="EI158" s="24"/>
      <c r="EJ158" s="24"/>
      <c r="EK158" s="24"/>
      <c r="EL158" s="24"/>
      <c r="EM158" s="24"/>
      <c r="EN158" s="24"/>
      <c r="EO158" s="24"/>
      <c r="EP158" s="24"/>
      <c r="EQ158" s="24"/>
      <c r="ER158" s="24"/>
      <c r="ES158" s="24"/>
      <c r="ET158" s="24"/>
      <c r="EU158" s="24"/>
      <c r="EV158" s="24"/>
      <c r="EW158" s="24"/>
      <c r="EX158" s="24"/>
      <c r="EY158" s="24"/>
      <c r="EZ158" s="24"/>
      <c r="FA158" s="24"/>
      <c r="FB158" s="24"/>
      <c r="FC158" s="24"/>
      <c r="FD158" s="24"/>
      <c r="FE158" s="24"/>
      <c r="FF158" s="24"/>
      <c r="FG158" s="24"/>
      <c r="FH158" s="24"/>
      <c r="FI158" s="24"/>
      <c r="FJ158" s="24"/>
      <c r="FK158" s="24"/>
      <c r="FL158" s="24"/>
    </row>
    <row r="159" spans="1:168" ht="15.75" customHeight="1">
      <c r="A159" s="176"/>
      <c r="B159" s="177"/>
      <c r="C159" s="177"/>
      <c r="D159" s="177"/>
      <c r="E159" s="177"/>
      <c r="F159" s="177"/>
      <c r="G159" s="178"/>
      <c r="H159" s="179"/>
      <c r="J159" s="185"/>
      <c r="O159" s="182"/>
      <c r="P159" s="182"/>
      <c r="Q159" s="1"/>
      <c r="AC159" s="180"/>
      <c r="AD159" s="180"/>
      <c r="AE159" s="180"/>
      <c r="AJ159" s="191"/>
      <c r="BS159" s="181"/>
      <c r="CC159" s="24"/>
      <c r="CD159" s="24"/>
      <c r="CE159" s="24"/>
      <c r="CF159" s="24"/>
      <c r="CG159" s="24"/>
      <c r="CH159" s="24"/>
      <c r="CI159" s="24"/>
      <c r="CJ159" s="24"/>
      <c r="DE159" s="24"/>
      <c r="DF159" s="24"/>
      <c r="DG159" s="24"/>
      <c r="DH159" s="24"/>
      <c r="DI159" s="24"/>
      <c r="DJ159" s="24"/>
      <c r="DK159" s="24"/>
      <c r="DL159" s="24"/>
      <c r="DM159" s="24"/>
      <c r="DN159" s="24"/>
      <c r="DO159" s="24"/>
      <c r="DP159" s="24"/>
      <c r="DQ159" s="24"/>
      <c r="DR159" s="24"/>
      <c r="DS159" s="24"/>
      <c r="DT159" s="24"/>
      <c r="DU159" s="24"/>
      <c r="DV159" s="24"/>
      <c r="DW159" s="24"/>
      <c r="DX159" s="24"/>
      <c r="DY159" s="24"/>
      <c r="DZ159" s="24"/>
      <c r="EA159" s="24"/>
      <c r="EB159" s="24"/>
      <c r="EC159" s="24"/>
      <c r="ED159" s="24"/>
      <c r="EE159" s="24"/>
      <c r="EF159" s="24"/>
      <c r="EG159" s="24"/>
      <c r="EH159" s="24"/>
      <c r="EI159" s="24"/>
      <c r="EJ159" s="24"/>
      <c r="EK159" s="24"/>
      <c r="EL159" s="24"/>
      <c r="EM159" s="24"/>
      <c r="EN159" s="24"/>
      <c r="EO159" s="24"/>
      <c r="EP159" s="24"/>
      <c r="EQ159" s="24"/>
      <c r="ER159" s="24"/>
      <c r="ES159" s="24"/>
      <c r="ET159" s="24"/>
      <c r="EU159" s="24"/>
      <c r="EV159" s="24"/>
      <c r="EW159" s="24"/>
      <c r="EX159" s="24"/>
      <c r="EY159" s="24"/>
      <c r="EZ159" s="24"/>
      <c r="FA159" s="24"/>
      <c r="FB159" s="24"/>
      <c r="FC159" s="24"/>
      <c r="FD159" s="24"/>
      <c r="FE159" s="24"/>
      <c r="FF159" s="24"/>
      <c r="FG159" s="24"/>
      <c r="FH159" s="24"/>
      <c r="FI159" s="24"/>
      <c r="FJ159" s="24"/>
      <c r="FK159" s="24"/>
      <c r="FL159" s="24"/>
    </row>
    <row r="160" spans="1:168" ht="15.75" customHeight="1">
      <c r="A160" s="176"/>
      <c r="B160" s="177"/>
      <c r="C160" s="177"/>
      <c r="D160" s="177"/>
      <c r="E160" s="177"/>
      <c r="F160" s="177"/>
      <c r="G160" s="178"/>
      <c r="H160" s="179"/>
      <c r="J160" s="185"/>
      <c r="O160" s="182"/>
      <c r="P160" s="182"/>
      <c r="Q160" s="1"/>
      <c r="AC160" s="180"/>
      <c r="AD160" s="180"/>
      <c r="AE160" s="180"/>
      <c r="AJ160" s="191"/>
      <c r="BS160" s="181"/>
      <c r="CC160" s="24"/>
      <c r="CD160" s="24"/>
      <c r="CE160" s="24"/>
      <c r="CF160" s="24"/>
      <c r="CG160" s="24"/>
      <c r="CH160" s="24"/>
      <c r="CI160" s="24"/>
      <c r="CJ160" s="24"/>
      <c r="DE160" s="24"/>
      <c r="DF160" s="24"/>
      <c r="DG160" s="24"/>
      <c r="DH160" s="24"/>
      <c r="DI160" s="24"/>
      <c r="DJ160" s="24"/>
      <c r="DK160" s="24"/>
      <c r="DL160" s="24"/>
      <c r="DM160" s="24"/>
      <c r="DN160" s="24"/>
      <c r="DO160" s="24"/>
      <c r="DP160" s="24"/>
      <c r="DQ160" s="24"/>
      <c r="DR160" s="24"/>
      <c r="DS160" s="24"/>
      <c r="DT160" s="24"/>
      <c r="DU160" s="24"/>
      <c r="DV160" s="24"/>
      <c r="DW160" s="24"/>
      <c r="DX160" s="24"/>
      <c r="DY160" s="24"/>
      <c r="DZ160" s="24"/>
      <c r="EA160" s="24"/>
      <c r="EB160" s="24"/>
      <c r="EC160" s="24"/>
      <c r="ED160" s="24"/>
      <c r="EE160" s="24"/>
      <c r="EF160" s="24"/>
      <c r="EG160" s="24"/>
      <c r="EH160" s="24"/>
      <c r="EI160" s="24"/>
      <c r="EJ160" s="24"/>
      <c r="EK160" s="24"/>
      <c r="EL160" s="24"/>
      <c r="EM160" s="24"/>
      <c r="EN160" s="24"/>
      <c r="EO160" s="24"/>
      <c r="EP160" s="24"/>
      <c r="EQ160" s="24"/>
      <c r="ER160" s="24"/>
      <c r="ES160" s="24"/>
      <c r="ET160" s="24"/>
      <c r="EU160" s="24"/>
      <c r="EV160" s="24"/>
      <c r="EW160" s="24"/>
      <c r="EX160" s="24"/>
      <c r="EY160" s="24"/>
      <c r="EZ160" s="24"/>
      <c r="FA160" s="24"/>
      <c r="FB160" s="24"/>
      <c r="FC160" s="24"/>
      <c r="FD160" s="24"/>
      <c r="FE160" s="24"/>
      <c r="FF160" s="24"/>
      <c r="FG160" s="24"/>
      <c r="FH160" s="24"/>
      <c r="FI160" s="24"/>
      <c r="FJ160" s="24"/>
      <c r="FK160" s="24"/>
      <c r="FL160" s="24"/>
    </row>
    <row r="161" spans="1:168" ht="15.75" customHeight="1">
      <c r="A161" s="176"/>
      <c r="B161" s="177"/>
      <c r="C161" s="177"/>
      <c r="D161" s="177"/>
      <c r="E161" s="177"/>
      <c r="F161" s="177"/>
      <c r="G161" s="178"/>
      <c r="H161" s="179"/>
      <c r="J161" s="185"/>
      <c r="O161" s="182"/>
      <c r="P161" s="182"/>
      <c r="Q161" s="1"/>
      <c r="AC161" s="180"/>
      <c r="AD161" s="180"/>
      <c r="AE161" s="180"/>
      <c r="AJ161" s="191"/>
      <c r="BS161" s="181"/>
      <c r="CC161" s="24"/>
      <c r="CD161" s="24"/>
      <c r="CE161" s="24"/>
      <c r="CF161" s="24"/>
      <c r="CG161" s="24"/>
      <c r="CH161" s="24"/>
      <c r="CI161" s="24"/>
      <c r="CJ161" s="24"/>
      <c r="DE161" s="24"/>
      <c r="DF161" s="24"/>
      <c r="DG161" s="24"/>
      <c r="DH161" s="24"/>
      <c r="DI161" s="24"/>
      <c r="DJ161" s="24"/>
      <c r="DK161" s="24"/>
      <c r="DL161" s="24"/>
      <c r="DM161" s="24"/>
      <c r="DN161" s="24"/>
      <c r="DO161" s="24"/>
      <c r="DP161" s="24"/>
      <c r="DQ161" s="24"/>
      <c r="DR161" s="24"/>
      <c r="DS161" s="24"/>
      <c r="DT161" s="24"/>
      <c r="DU161" s="24"/>
      <c r="DV161" s="24"/>
      <c r="DW161" s="24"/>
      <c r="DX161" s="24"/>
      <c r="DY161" s="24"/>
      <c r="DZ161" s="24"/>
      <c r="EA161" s="24"/>
      <c r="EB161" s="24"/>
      <c r="EC161" s="24"/>
      <c r="ED161" s="24"/>
      <c r="EE161" s="24"/>
      <c r="EF161" s="24"/>
      <c r="EG161" s="24"/>
      <c r="EH161" s="24"/>
      <c r="EI161" s="24"/>
      <c r="EJ161" s="24"/>
      <c r="EK161" s="24"/>
      <c r="EL161" s="24"/>
      <c r="EM161" s="24"/>
      <c r="EN161" s="24"/>
      <c r="EO161" s="24"/>
      <c r="EP161" s="24"/>
      <c r="EQ161" s="24"/>
      <c r="ER161" s="24"/>
      <c r="ES161" s="24"/>
      <c r="ET161" s="24"/>
      <c r="EU161" s="24"/>
      <c r="EV161" s="24"/>
      <c r="EW161" s="24"/>
      <c r="EX161" s="24"/>
      <c r="EY161" s="24"/>
      <c r="EZ161" s="24"/>
      <c r="FA161" s="24"/>
      <c r="FB161" s="24"/>
      <c r="FC161" s="24"/>
      <c r="FD161" s="24"/>
      <c r="FE161" s="24"/>
      <c r="FF161" s="24"/>
      <c r="FG161" s="24"/>
      <c r="FH161" s="24"/>
      <c r="FI161" s="24"/>
      <c r="FJ161" s="24"/>
      <c r="FK161" s="24"/>
      <c r="FL161" s="24"/>
    </row>
    <row r="162" spans="1:168" ht="15.75" customHeight="1">
      <c r="A162" s="176"/>
      <c r="B162" s="177"/>
      <c r="C162" s="177"/>
      <c r="D162" s="177"/>
      <c r="E162" s="177"/>
      <c r="F162" s="177"/>
      <c r="G162" s="178"/>
      <c r="H162" s="179"/>
      <c r="J162" s="185"/>
      <c r="O162" s="182"/>
      <c r="P162" s="182"/>
      <c r="Q162" s="1"/>
      <c r="AC162" s="180"/>
      <c r="AD162" s="180"/>
      <c r="AE162" s="180"/>
      <c r="AJ162" s="191"/>
      <c r="BS162" s="181"/>
      <c r="CC162" s="24"/>
      <c r="CD162" s="24"/>
      <c r="CE162" s="24"/>
      <c r="CF162" s="24"/>
      <c r="CG162" s="24"/>
      <c r="CH162" s="24"/>
      <c r="CI162" s="24"/>
      <c r="CJ162" s="24"/>
      <c r="DE162" s="24"/>
      <c r="DF162" s="24"/>
      <c r="DG162" s="24"/>
      <c r="DH162" s="24"/>
      <c r="DI162" s="24"/>
      <c r="DJ162" s="24"/>
      <c r="DK162" s="24"/>
      <c r="DL162" s="24"/>
      <c r="DM162" s="24"/>
      <c r="DN162" s="24"/>
      <c r="DO162" s="24"/>
      <c r="DP162" s="24"/>
      <c r="DQ162" s="24"/>
      <c r="DR162" s="24"/>
      <c r="DS162" s="24"/>
      <c r="DT162" s="24"/>
      <c r="DU162" s="24"/>
      <c r="DV162" s="24"/>
      <c r="DW162" s="24"/>
      <c r="DX162" s="24"/>
      <c r="DY162" s="24"/>
      <c r="DZ162" s="24"/>
      <c r="EA162" s="24"/>
      <c r="EB162" s="24"/>
      <c r="EC162" s="24"/>
      <c r="ED162" s="24"/>
      <c r="EE162" s="24"/>
      <c r="EF162" s="24"/>
      <c r="EG162" s="24"/>
      <c r="EH162" s="24"/>
      <c r="EI162" s="24"/>
      <c r="EJ162" s="24"/>
      <c r="EK162" s="24"/>
      <c r="EL162" s="24"/>
      <c r="EM162" s="24"/>
      <c r="EN162" s="24"/>
      <c r="EO162" s="24"/>
      <c r="EP162" s="24"/>
      <c r="EQ162" s="24"/>
      <c r="ER162" s="24"/>
      <c r="ES162" s="24"/>
      <c r="ET162" s="24"/>
      <c r="EU162" s="24"/>
      <c r="EV162" s="24"/>
      <c r="EW162" s="24"/>
      <c r="EX162" s="24"/>
      <c r="EY162" s="24"/>
      <c r="EZ162" s="24"/>
      <c r="FA162" s="24"/>
      <c r="FB162" s="24"/>
      <c r="FC162" s="24"/>
      <c r="FD162" s="24"/>
      <c r="FE162" s="24"/>
      <c r="FF162" s="24"/>
      <c r="FG162" s="24"/>
      <c r="FH162" s="24"/>
      <c r="FI162" s="24"/>
      <c r="FJ162" s="24"/>
      <c r="FK162" s="24"/>
      <c r="FL162" s="24"/>
    </row>
    <row r="163" spans="1:168" ht="15.75" customHeight="1">
      <c r="A163" s="176"/>
      <c r="B163" s="177"/>
      <c r="C163" s="177"/>
      <c r="D163" s="177"/>
      <c r="E163" s="177"/>
      <c r="F163" s="177"/>
      <c r="G163" s="178"/>
      <c r="H163" s="179"/>
      <c r="J163" s="185"/>
      <c r="O163" s="182"/>
      <c r="P163" s="182"/>
      <c r="Q163" s="1"/>
      <c r="AC163" s="180"/>
      <c r="AD163" s="180"/>
      <c r="AE163" s="180"/>
      <c r="AJ163" s="191"/>
      <c r="BS163" s="181"/>
      <c r="CC163" s="24"/>
      <c r="CD163" s="24"/>
      <c r="CE163" s="24"/>
      <c r="CF163" s="24"/>
      <c r="CG163" s="24"/>
      <c r="CH163" s="24"/>
      <c r="CI163" s="24"/>
      <c r="CJ163" s="24"/>
      <c r="DE163" s="24"/>
      <c r="DF163" s="24"/>
      <c r="DG163" s="24"/>
      <c r="DH163" s="24"/>
      <c r="DI163" s="24"/>
      <c r="DJ163" s="24"/>
      <c r="DK163" s="24"/>
      <c r="DL163" s="24"/>
      <c r="DM163" s="24"/>
      <c r="DN163" s="24"/>
      <c r="DO163" s="24"/>
      <c r="DP163" s="24"/>
      <c r="DQ163" s="24"/>
      <c r="DR163" s="24"/>
      <c r="DS163" s="24"/>
      <c r="DT163" s="24"/>
      <c r="DU163" s="24"/>
      <c r="DV163" s="24"/>
      <c r="DW163" s="24"/>
      <c r="DX163" s="24"/>
      <c r="DY163" s="24"/>
      <c r="DZ163" s="24"/>
      <c r="EA163" s="24"/>
      <c r="EB163" s="24"/>
      <c r="EC163" s="24"/>
      <c r="ED163" s="24"/>
      <c r="EE163" s="24"/>
      <c r="EF163" s="24"/>
      <c r="EG163" s="24"/>
      <c r="EH163" s="24"/>
      <c r="EI163" s="24"/>
      <c r="EJ163" s="24"/>
      <c r="EK163" s="24"/>
      <c r="EL163" s="24"/>
      <c r="EM163" s="24"/>
      <c r="EN163" s="24"/>
      <c r="EO163" s="24"/>
      <c r="EP163" s="24"/>
      <c r="EQ163" s="24"/>
      <c r="ER163" s="24"/>
      <c r="ES163" s="24"/>
      <c r="ET163" s="24"/>
      <c r="EU163" s="24"/>
      <c r="EV163" s="24"/>
      <c r="EW163" s="24"/>
      <c r="EX163" s="24"/>
      <c r="EY163" s="24"/>
      <c r="EZ163" s="24"/>
      <c r="FA163" s="24"/>
      <c r="FB163" s="24"/>
      <c r="FC163" s="24"/>
      <c r="FD163" s="24"/>
      <c r="FE163" s="24"/>
      <c r="FF163" s="24"/>
      <c r="FG163" s="24"/>
      <c r="FH163" s="24"/>
      <c r="FI163" s="24"/>
      <c r="FJ163" s="24"/>
      <c r="FK163" s="24"/>
      <c r="FL163" s="24"/>
    </row>
    <row r="164" spans="1:168" ht="15.75" customHeight="1">
      <c r="A164" s="176"/>
      <c r="B164" s="177"/>
      <c r="C164" s="177"/>
      <c r="D164" s="177"/>
      <c r="E164" s="177"/>
      <c r="F164" s="177"/>
      <c r="G164" s="178"/>
      <c r="H164" s="179"/>
      <c r="J164" s="185"/>
      <c r="O164" s="182"/>
      <c r="P164" s="182"/>
      <c r="Q164" s="1"/>
      <c r="AC164" s="180"/>
      <c r="AD164" s="180"/>
      <c r="AE164" s="180"/>
      <c r="AJ164" s="191"/>
      <c r="BS164" s="181"/>
      <c r="CC164" s="24"/>
      <c r="CD164" s="24"/>
      <c r="CE164" s="24"/>
      <c r="CF164" s="24"/>
      <c r="CG164" s="24"/>
      <c r="CH164" s="24"/>
      <c r="CI164" s="24"/>
      <c r="CJ164" s="24"/>
      <c r="DE164" s="24"/>
      <c r="DF164" s="24"/>
      <c r="DG164" s="24"/>
      <c r="DH164" s="24"/>
      <c r="DI164" s="24"/>
      <c r="DJ164" s="24"/>
      <c r="DK164" s="24"/>
      <c r="DL164" s="24"/>
      <c r="DM164" s="24"/>
      <c r="DN164" s="24"/>
      <c r="DO164" s="24"/>
      <c r="DP164" s="24"/>
      <c r="DQ164" s="24"/>
      <c r="DR164" s="24"/>
      <c r="DS164" s="24"/>
      <c r="DT164" s="24"/>
      <c r="DU164" s="24"/>
      <c r="DV164" s="24"/>
      <c r="DW164" s="24"/>
      <c r="DX164" s="24"/>
      <c r="DY164" s="24"/>
      <c r="DZ164" s="24"/>
      <c r="EA164" s="24"/>
      <c r="EB164" s="24"/>
      <c r="EC164" s="24"/>
      <c r="ED164" s="24"/>
      <c r="EE164" s="24"/>
      <c r="EF164" s="24"/>
      <c r="EG164" s="24"/>
      <c r="EH164" s="24"/>
      <c r="EI164" s="24"/>
      <c r="EJ164" s="24"/>
      <c r="EK164" s="24"/>
      <c r="EL164" s="24"/>
      <c r="EM164" s="24"/>
      <c r="EN164" s="24"/>
      <c r="EO164" s="24"/>
      <c r="EP164" s="24"/>
      <c r="EQ164" s="24"/>
      <c r="ER164" s="24"/>
      <c r="ES164" s="24"/>
      <c r="ET164" s="24"/>
      <c r="EU164" s="24"/>
      <c r="EV164" s="24"/>
      <c r="EW164" s="24"/>
      <c r="EX164" s="24"/>
      <c r="EY164" s="24"/>
      <c r="EZ164" s="24"/>
      <c r="FA164" s="24"/>
      <c r="FB164" s="24"/>
      <c r="FC164" s="24"/>
      <c r="FD164" s="24"/>
      <c r="FE164" s="24"/>
      <c r="FF164" s="24"/>
      <c r="FG164" s="24"/>
      <c r="FH164" s="24"/>
      <c r="FI164" s="24"/>
      <c r="FJ164" s="24"/>
      <c r="FK164" s="24"/>
      <c r="FL164" s="24"/>
    </row>
    <row r="165" spans="1:168" ht="15.75" customHeight="1">
      <c r="A165" s="176"/>
      <c r="B165" s="177"/>
      <c r="C165" s="177"/>
      <c r="D165" s="177"/>
      <c r="E165" s="177"/>
      <c r="F165" s="177"/>
      <c r="G165" s="178"/>
      <c r="H165" s="179"/>
      <c r="J165" s="185"/>
      <c r="O165" s="182"/>
      <c r="P165" s="182"/>
      <c r="Q165" s="1"/>
      <c r="AC165" s="180"/>
      <c r="AD165" s="180"/>
      <c r="AE165" s="180"/>
      <c r="AJ165" s="191"/>
      <c r="BS165" s="181"/>
      <c r="CC165" s="24"/>
      <c r="CD165" s="24"/>
      <c r="CE165" s="24"/>
      <c r="CF165" s="24"/>
      <c r="CG165" s="24"/>
      <c r="CH165" s="24"/>
      <c r="CI165" s="24"/>
      <c r="CJ165" s="24"/>
      <c r="DE165" s="24"/>
      <c r="DF165" s="24"/>
      <c r="DG165" s="24"/>
      <c r="DH165" s="24"/>
      <c r="DI165" s="24"/>
      <c r="DJ165" s="24"/>
      <c r="DK165" s="24"/>
      <c r="DL165" s="24"/>
      <c r="DM165" s="24"/>
      <c r="DN165" s="24"/>
      <c r="DO165" s="24"/>
      <c r="DP165" s="24"/>
      <c r="DQ165" s="24"/>
      <c r="DR165" s="24"/>
      <c r="DS165" s="24"/>
      <c r="DT165" s="24"/>
      <c r="DU165" s="24"/>
      <c r="DV165" s="24"/>
      <c r="DW165" s="24"/>
      <c r="DX165" s="24"/>
      <c r="DY165" s="24"/>
      <c r="DZ165" s="24"/>
      <c r="EA165" s="24"/>
      <c r="EB165" s="24"/>
      <c r="EC165" s="24"/>
      <c r="ED165" s="24"/>
      <c r="EE165" s="24"/>
      <c r="EF165" s="24"/>
      <c r="EG165" s="24"/>
      <c r="EH165" s="24"/>
      <c r="EI165" s="24"/>
      <c r="EJ165" s="24"/>
      <c r="EK165" s="24"/>
      <c r="EL165" s="24"/>
      <c r="EM165" s="24"/>
      <c r="EN165" s="24"/>
      <c r="EO165" s="24"/>
      <c r="EP165" s="24"/>
      <c r="EQ165" s="24"/>
      <c r="ER165" s="24"/>
      <c r="ES165" s="24"/>
      <c r="ET165" s="24"/>
      <c r="EU165" s="24"/>
      <c r="EV165" s="24"/>
      <c r="EW165" s="24"/>
      <c r="EX165" s="24"/>
      <c r="EY165" s="24"/>
      <c r="EZ165" s="24"/>
      <c r="FA165" s="24"/>
      <c r="FB165" s="24"/>
      <c r="FC165" s="24"/>
      <c r="FD165" s="24"/>
      <c r="FE165" s="24"/>
      <c r="FF165" s="24"/>
      <c r="FG165" s="24"/>
      <c r="FH165" s="24"/>
      <c r="FI165" s="24"/>
      <c r="FJ165" s="24"/>
      <c r="FK165" s="24"/>
      <c r="FL165" s="24"/>
    </row>
    <row r="166" spans="1:168" ht="15.75" customHeight="1">
      <c r="A166" s="176"/>
      <c r="B166" s="177"/>
      <c r="C166" s="177"/>
      <c r="D166" s="177"/>
      <c r="E166" s="177"/>
      <c r="F166" s="177"/>
      <c r="G166" s="178"/>
      <c r="H166" s="179"/>
      <c r="J166" s="185"/>
      <c r="O166" s="182"/>
      <c r="P166" s="182"/>
      <c r="Q166" s="1"/>
      <c r="AC166" s="180"/>
      <c r="AD166" s="180"/>
      <c r="AE166" s="180"/>
      <c r="AJ166" s="191"/>
      <c r="BS166" s="181"/>
      <c r="CC166" s="24"/>
      <c r="CD166" s="24"/>
      <c r="CE166" s="24"/>
      <c r="CF166" s="24"/>
      <c r="CG166" s="24"/>
      <c r="CH166" s="24"/>
      <c r="CI166" s="24"/>
      <c r="CJ166" s="24"/>
      <c r="DE166" s="24"/>
      <c r="DF166" s="24"/>
      <c r="DG166" s="24"/>
      <c r="DH166" s="24"/>
      <c r="DI166" s="24"/>
      <c r="DJ166" s="24"/>
      <c r="DK166" s="24"/>
      <c r="DL166" s="24"/>
      <c r="DM166" s="24"/>
      <c r="DN166" s="24"/>
      <c r="DO166" s="24"/>
      <c r="DP166" s="24"/>
      <c r="DQ166" s="24"/>
      <c r="DR166" s="24"/>
      <c r="DS166" s="24"/>
      <c r="DT166" s="24"/>
      <c r="DU166" s="24"/>
      <c r="DV166" s="24"/>
      <c r="DW166" s="24"/>
      <c r="DX166" s="24"/>
      <c r="DY166" s="24"/>
      <c r="DZ166" s="24"/>
      <c r="EA166" s="24"/>
      <c r="EB166" s="24"/>
      <c r="EC166" s="24"/>
      <c r="ED166" s="24"/>
      <c r="EE166" s="24"/>
      <c r="EF166" s="24"/>
      <c r="EG166" s="24"/>
      <c r="EH166" s="24"/>
      <c r="EI166" s="24"/>
      <c r="EJ166" s="24"/>
      <c r="EK166" s="24"/>
      <c r="EL166" s="24"/>
      <c r="EM166" s="24"/>
      <c r="EN166" s="24"/>
      <c r="EO166" s="24"/>
      <c r="EP166" s="24"/>
      <c r="EQ166" s="24"/>
      <c r="ER166" s="24"/>
      <c r="ES166" s="24"/>
      <c r="ET166" s="24"/>
      <c r="EU166" s="24"/>
      <c r="EV166" s="24"/>
      <c r="EW166" s="24"/>
      <c r="EX166" s="24"/>
      <c r="EY166" s="24"/>
      <c r="EZ166" s="24"/>
      <c r="FA166" s="24"/>
      <c r="FB166" s="24"/>
      <c r="FC166" s="24"/>
      <c r="FD166" s="24"/>
      <c r="FE166" s="24"/>
      <c r="FF166" s="24"/>
      <c r="FG166" s="24"/>
      <c r="FH166" s="24"/>
      <c r="FI166" s="24"/>
      <c r="FJ166" s="24"/>
      <c r="FK166" s="24"/>
      <c r="FL166" s="24"/>
    </row>
    <row r="167" spans="1:168" ht="15.75" customHeight="1">
      <c r="A167" s="176"/>
      <c r="B167" s="177"/>
      <c r="C167" s="177"/>
      <c r="D167" s="177"/>
      <c r="E167" s="177"/>
      <c r="F167" s="177"/>
      <c r="G167" s="178"/>
      <c r="H167" s="179"/>
      <c r="J167" s="185"/>
      <c r="O167" s="182"/>
      <c r="P167" s="182"/>
      <c r="Q167" s="1"/>
      <c r="AC167" s="180"/>
      <c r="AD167" s="180"/>
      <c r="AE167" s="180"/>
      <c r="AJ167" s="191"/>
      <c r="BS167" s="181"/>
      <c r="CC167" s="24"/>
      <c r="CD167" s="24"/>
      <c r="CE167" s="24"/>
      <c r="CF167" s="24"/>
      <c r="CG167" s="24"/>
      <c r="CH167" s="24"/>
      <c r="CI167" s="24"/>
      <c r="CJ167" s="24"/>
      <c r="DE167" s="24"/>
      <c r="DF167" s="24"/>
      <c r="DG167" s="24"/>
      <c r="DH167" s="24"/>
      <c r="DI167" s="24"/>
      <c r="DJ167" s="24"/>
      <c r="DK167" s="24"/>
      <c r="DL167" s="24"/>
      <c r="DM167" s="24"/>
      <c r="DN167" s="24"/>
      <c r="DO167" s="24"/>
      <c r="DP167" s="24"/>
      <c r="DQ167" s="24"/>
      <c r="DR167" s="24"/>
      <c r="DS167" s="24"/>
      <c r="DT167" s="24"/>
      <c r="DU167" s="24"/>
      <c r="DV167" s="24"/>
      <c r="DW167" s="24"/>
      <c r="DX167" s="24"/>
      <c r="DY167" s="24"/>
      <c r="DZ167" s="24"/>
      <c r="EA167" s="24"/>
      <c r="EB167" s="24"/>
      <c r="EC167" s="24"/>
      <c r="ED167" s="24"/>
      <c r="EE167" s="24"/>
      <c r="EF167" s="24"/>
      <c r="EG167" s="24"/>
      <c r="EH167" s="24"/>
      <c r="EI167" s="24"/>
      <c r="EJ167" s="24"/>
      <c r="EK167" s="24"/>
      <c r="EL167" s="24"/>
      <c r="EM167" s="24"/>
      <c r="EN167" s="24"/>
      <c r="EO167" s="24"/>
      <c r="EP167" s="24"/>
      <c r="EQ167" s="24"/>
      <c r="ER167" s="24"/>
      <c r="ES167" s="24"/>
      <c r="ET167" s="24"/>
      <c r="EU167" s="24"/>
      <c r="EV167" s="24"/>
      <c r="EW167" s="24"/>
      <c r="EX167" s="24"/>
      <c r="EY167" s="24"/>
      <c r="EZ167" s="24"/>
      <c r="FA167" s="24"/>
      <c r="FB167" s="24"/>
      <c r="FC167" s="24"/>
      <c r="FD167" s="24"/>
      <c r="FE167" s="24"/>
      <c r="FF167" s="24"/>
      <c r="FG167" s="24"/>
      <c r="FH167" s="24"/>
      <c r="FI167" s="24"/>
      <c r="FJ167" s="24"/>
      <c r="FK167" s="24"/>
      <c r="FL167" s="24"/>
    </row>
    <row r="168" spans="1:168" ht="15.75" customHeight="1">
      <c r="A168" s="176"/>
      <c r="B168" s="177"/>
      <c r="C168" s="177"/>
      <c r="D168" s="177"/>
      <c r="E168" s="177"/>
      <c r="F168" s="177"/>
      <c r="G168" s="178"/>
      <c r="H168" s="179"/>
      <c r="J168" s="185"/>
      <c r="O168" s="182"/>
      <c r="P168" s="182"/>
      <c r="Q168" s="1"/>
      <c r="AC168" s="180"/>
      <c r="AD168" s="180"/>
      <c r="AE168" s="180"/>
      <c r="AJ168" s="191"/>
      <c r="BS168" s="181"/>
      <c r="CC168" s="24"/>
      <c r="CD168" s="24"/>
      <c r="CE168" s="24"/>
      <c r="CF168" s="24"/>
      <c r="CG168" s="24"/>
      <c r="CH168" s="24"/>
      <c r="CI168" s="24"/>
      <c r="CJ168" s="24"/>
      <c r="DE168" s="24"/>
      <c r="DF168" s="24"/>
      <c r="DG168" s="24"/>
      <c r="DH168" s="24"/>
      <c r="DI168" s="24"/>
      <c r="DJ168" s="24"/>
      <c r="DK168" s="24"/>
      <c r="DL168" s="24"/>
      <c r="DM168" s="24"/>
      <c r="DN168" s="24"/>
      <c r="DO168" s="24"/>
      <c r="DP168" s="24"/>
      <c r="DQ168" s="24"/>
      <c r="DR168" s="24"/>
      <c r="DS168" s="24"/>
      <c r="DT168" s="24"/>
      <c r="DU168" s="24"/>
      <c r="DV168" s="24"/>
      <c r="DW168" s="24"/>
      <c r="DX168" s="24"/>
      <c r="DY168" s="24"/>
      <c r="DZ168" s="24"/>
      <c r="EA168" s="24"/>
      <c r="EB168" s="24"/>
      <c r="EC168" s="24"/>
      <c r="ED168" s="24"/>
      <c r="EE168" s="24"/>
      <c r="EF168" s="24"/>
      <c r="EG168" s="24"/>
      <c r="EH168" s="24"/>
      <c r="EI168" s="24"/>
      <c r="EJ168" s="24"/>
      <c r="EK168" s="24"/>
      <c r="EL168" s="24"/>
      <c r="EM168" s="24"/>
      <c r="EN168" s="24"/>
      <c r="EO168" s="24"/>
      <c r="EP168" s="24"/>
      <c r="EQ168" s="24"/>
      <c r="ER168" s="24"/>
      <c r="ES168" s="24"/>
      <c r="ET168" s="24"/>
      <c r="EU168" s="24"/>
      <c r="EV168" s="24"/>
      <c r="EW168" s="24"/>
      <c r="EX168" s="24"/>
      <c r="EY168" s="24"/>
      <c r="EZ168" s="24"/>
      <c r="FA168" s="24"/>
      <c r="FB168" s="24"/>
      <c r="FC168" s="24"/>
      <c r="FD168" s="24"/>
      <c r="FE168" s="24"/>
      <c r="FF168" s="24"/>
      <c r="FG168" s="24"/>
      <c r="FH168" s="24"/>
      <c r="FI168" s="24"/>
      <c r="FJ168" s="24"/>
      <c r="FK168" s="24"/>
      <c r="FL168" s="24"/>
    </row>
    <row r="169" spans="1:168" ht="15.75" customHeight="1">
      <c r="A169" s="176"/>
      <c r="B169" s="177"/>
      <c r="C169" s="177"/>
      <c r="D169" s="177"/>
      <c r="E169" s="177"/>
      <c r="F169" s="177"/>
      <c r="G169" s="178"/>
      <c r="H169" s="179"/>
      <c r="J169" s="185"/>
      <c r="O169" s="182"/>
      <c r="P169" s="182"/>
      <c r="Q169" s="1"/>
      <c r="AC169" s="180"/>
      <c r="AD169" s="180"/>
      <c r="AE169" s="180"/>
      <c r="AJ169" s="191"/>
      <c r="BS169" s="181"/>
      <c r="CC169" s="24"/>
      <c r="CD169" s="24"/>
      <c r="CE169" s="24"/>
      <c r="CF169" s="24"/>
      <c r="CG169" s="24"/>
      <c r="CH169" s="24"/>
      <c r="CI169" s="24"/>
      <c r="CJ169" s="24"/>
      <c r="DE169" s="24"/>
      <c r="DF169" s="24"/>
      <c r="DG169" s="24"/>
      <c r="DH169" s="24"/>
      <c r="DI169" s="24"/>
      <c r="DJ169" s="24"/>
      <c r="DK169" s="24"/>
      <c r="DL169" s="24"/>
      <c r="DM169" s="24"/>
      <c r="DN169" s="24"/>
      <c r="DO169" s="24"/>
      <c r="DP169" s="24"/>
      <c r="DQ169" s="24"/>
      <c r="DR169" s="24"/>
      <c r="DS169" s="24"/>
      <c r="DT169" s="24"/>
      <c r="DU169" s="24"/>
      <c r="DV169" s="24"/>
      <c r="DW169" s="24"/>
      <c r="DX169" s="24"/>
      <c r="DY169" s="24"/>
      <c r="DZ169" s="24"/>
      <c r="EA169" s="24"/>
      <c r="EB169" s="24"/>
      <c r="EC169" s="24"/>
      <c r="ED169" s="24"/>
      <c r="EE169" s="24"/>
      <c r="EF169" s="24"/>
      <c r="EG169" s="24"/>
      <c r="EH169" s="24"/>
      <c r="EI169" s="24"/>
      <c r="EJ169" s="24"/>
      <c r="EK169" s="24"/>
      <c r="EL169" s="24"/>
      <c r="EM169" s="24"/>
      <c r="EN169" s="24"/>
      <c r="EO169" s="24"/>
      <c r="EP169" s="24"/>
      <c r="EQ169" s="24"/>
      <c r="ER169" s="24"/>
      <c r="ES169" s="24"/>
      <c r="ET169" s="24"/>
      <c r="EU169" s="24"/>
      <c r="EV169" s="24"/>
      <c r="EW169" s="24"/>
      <c r="EX169" s="24"/>
      <c r="EY169" s="24"/>
      <c r="EZ169" s="24"/>
      <c r="FA169" s="24"/>
      <c r="FB169" s="24"/>
      <c r="FC169" s="24"/>
      <c r="FD169" s="24"/>
      <c r="FE169" s="24"/>
      <c r="FF169" s="24"/>
      <c r="FG169" s="24"/>
      <c r="FH169" s="24"/>
      <c r="FI169" s="24"/>
      <c r="FJ169" s="24"/>
      <c r="FK169" s="24"/>
      <c r="FL169" s="24"/>
    </row>
    <row r="170" spans="1:168" ht="15.75" customHeight="1">
      <c r="A170" s="176"/>
      <c r="B170" s="177"/>
      <c r="C170" s="177"/>
      <c r="D170" s="177"/>
      <c r="E170" s="177"/>
      <c r="F170" s="177"/>
      <c r="G170" s="178"/>
      <c r="H170" s="179"/>
      <c r="J170" s="185"/>
      <c r="O170" s="182"/>
      <c r="P170" s="182"/>
      <c r="Q170" s="1"/>
      <c r="AC170" s="180"/>
      <c r="AD170" s="180"/>
      <c r="AE170" s="180"/>
      <c r="AJ170" s="191"/>
      <c r="BS170" s="181"/>
      <c r="CC170" s="24"/>
      <c r="CD170" s="24"/>
      <c r="CE170" s="24"/>
      <c r="CF170" s="24"/>
      <c r="CG170" s="24"/>
      <c r="CH170" s="24"/>
      <c r="CI170" s="24"/>
      <c r="CJ170" s="24"/>
      <c r="DE170" s="24"/>
      <c r="DF170" s="24"/>
      <c r="DG170" s="24"/>
      <c r="DH170" s="24"/>
      <c r="DI170" s="24"/>
      <c r="DJ170" s="24"/>
      <c r="DK170" s="24"/>
      <c r="DL170" s="24"/>
      <c r="DM170" s="24"/>
      <c r="DN170" s="24"/>
      <c r="DO170" s="24"/>
      <c r="DP170" s="24"/>
      <c r="DQ170" s="24"/>
      <c r="DR170" s="24"/>
      <c r="DS170" s="24"/>
      <c r="DT170" s="24"/>
      <c r="DU170" s="24"/>
      <c r="DV170" s="24"/>
      <c r="DW170" s="24"/>
      <c r="DX170" s="24"/>
      <c r="DY170" s="24"/>
      <c r="DZ170" s="24"/>
      <c r="EA170" s="24"/>
      <c r="EB170" s="24"/>
      <c r="EC170" s="24"/>
      <c r="ED170" s="24"/>
      <c r="EE170" s="24"/>
      <c r="EF170" s="24"/>
      <c r="EG170" s="24"/>
      <c r="EH170" s="24"/>
      <c r="EI170" s="24"/>
      <c r="EJ170" s="24"/>
      <c r="EK170" s="24"/>
      <c r="EL170" s="24"/>
      <c r="EM170" s="24"/>
      <c r="EN170" s="24"/>
      <c r="EO170" s="24"/>
      <c r="EP170" s="24"/>
      <c r="EQ170" s="24"/>
      <c r="ER170" s="24"/>
      <c r="ES170" s="24"/>
      <c r="ET170" s="24"/>
      <c r="EU170" s="24"/>
      <c r="EV170" s="24"/>
      <c r="EW170" s="24"/>
      <c r="EX170" s="24"/>
      <c r="EY170" s="24"/>
      <c r="EZ170" s="24"/>
      <c r="FA170" s="24"/>
      <c r="FB170" s="24"/>
      <c r="FC170" s="24"/>
      <c r="FD170" s="24"/>
      <c r="FE170" s="24"/>
      <c r="FF170" s="24"/>
      <c r="FG170" s="24"/>
      <c r="FH170" s="24"/>
      <c r="FI170" s="24"/>
      <c r="FJ170" s="24"/>
      <c r="FK170" s="24"/>
      <c r="FL170" s="24"/>
    </row>
    <row r="171" spans="1:168" ht="15.75" customHeight="1">
      <c r="A171" s="176"/>
      <c r="B171" s="177"/>
      <c r="C171" s="177"/>
      <c r="D171" s="177"/>
      <c r="E171" s="177"/>
      <c r="F171" s="177"/>
      <c r="G171" s="178"/>
      <c r="H171" s="179"/>
      <c r="J171" s="185"/>
      <c r="O171" s="182"/>
      <c r="P171" s="182"/>
      <c r="Q171" s="1"/>
      <c r="AC171" s="180"/>
      <c r="AD171" s="180"/>
      <c r="AE171" s="180"/>
      <c r="AJ171" s="191"/>
      <c r="BS171" s="181"/>
      <c r="CC171" s="24"/>
      <c r="CD171" s="24"/>
      <c r="CE171" s="24"/>
      <c r="CF171" s="24"/>
      <c r="CG171" s="24"/>
      <c r="CH171" s="24"/>
      <c r="CI171" s="24"/>
      <c r="CJ171" s="24"/>
      <c r="DE171" s="24"/>
      <c r="DF171" s="24"/>
      <c r="DG171" s="24"/>
      <c r="DH171" s="24"/>
      <c r="DI171" s="24"/>
      <c r="DJ171" s="24"/>
      <c r="DK171" s="24"/>
      <c r="DL171" s="24"/>
      <c r="DM171" s="24"/>
      <c r="DN171" s="24"/>
      <c r="DO171" s="24"/>
      <c r="DP171" s="24"/>
      <c r="DQ171" s="24"/>
      <c r="DR171" s="24"/>
      <c r="DS171" s="24"/>
      <c r="DT171" s="24"/>
      <c r="DU171" s="24"/>
      <c r="DV171" s="24"/>
      <c r="DW171" s="24"/>
      <c r="DX171" s="24"/>
      <c r="DY171" s="24"/>
      <c r="DZ171" s="24"/>
      <c r="EA171" s="24"/>
      <c r="EB171" s="24"/>
      <c r="EC171" s="24"/>
      <c r="ED171" s="24"/>
      <c r="EE171" s="24"/>
      <c r="EF171" s="24"/>
      <c r="EG171" s="24"/>
      <c r="EH171" s="24"/>
      <c r="EI171" s="24"/>
      <c r="EJ171" s="24"/>
      <c r="EK171" s="24"/>
      <c r="EL171" s="24"/>
      <c r="EM171" s="24"/>
      <c r="EN171" s="24"/>
      <c r="EO171" s="24"/>
      <c r="EP171" s="24"/>
      <c r="EQ171" s="24"/>
      <c r="ER171" s="24"/>
      <c r="ES171" s="24"/>
      <c r="ET171" s="24"/>
      <c r="EU171" s="24"/>
      <c r="EV171" s="24"/>
      <c r="EW171" s="24"/>
      <c r="EX171" s="24"/>
      <c r="EY171" s="24"/>
      <c r="EZ171" s="24"/>
      <c r="FA171" s="24"/>
      <c r="FB171" s="24"/>
      <c r="FC171" s="24"/>
      <c r="FD171" s="24"/>
      <c r="FE171" s="24"/>
      <c r="FF171" s="24"/>
      <c r="FG171" s="24"/>
      <c r="FH171" s="24"/>
      <c r="FI171" s="24"/>
      <c r="FJ171" s="24"/>
      <c r="FK171" s="24"/>
      <c r="FL171" s="24"/>
    </row>
    <row r="172" spans="1:168" ht="15.75" customHeight="1">
      <c r="A172" s="176"/>
      <c r="B172" s="177"/>
      <c r="C172" s="177"/>
      <c r="D172" s="177"/>
      <c r="E172" s="177"/>
      <c r="F172" s="177"/>
      <c r="G172" s="178"/>
      <c r="H172" s="179"/>
      <c r="J172" s="185"/>
      <c r="O172" s="182"/>
      <c r="P172" s="182"/>
      <c r="Q172" s="1"/>
      <c r="AC172" s="180"/>
      <c r="AD172" s="180"/>
      <c r="AE172" s="180"/>
      <c r="AJ172" s="191"/>
      <c r="BS172" s="181"/>
      <c r="CC172" s="24"/>
      <c r="CD172" s="24"/>
      <c r="CE172" s="24"/>
      <c r="CF172" s="24"/>
      <c r="CG172" s="24"/>
      <c r="CH172" s="24"/>
      <c r="CI172" s="24"/>
      <c r="CJ172" s="24"/>
      <c r="DE172" s="24"/>
      <c r="DF172" s="24"/>
      <c r="DG172" s="24"/>
      <c r="DH172" s="24"/>
      <c r="DI172" s="24"/>
      <c r="DJ172" s="24"/>
      <c r="DK172" s="24"/>
      <c r="DL172" s="24"/>
      <c r="DM172" s="24"/>
      <c r="DN172" s="24"/>
      <c r="DO172" s="24"/>
      <c r="DP172" s="24"/>
      <c r="DQ172" s="24"/>
      <c r="DR172" s="24"/>
      <c r="DS172" s="24"/>
      <c r="DT172" s="24"/>
      <c r="DU172" s="24"/>
      <c r="DV172" s="24"/>
      <c r="DW172" s="24"/>
      <c r="DX172" s="24"/>
      <c r="DY172" s="24"/>
      <c r="DZ172" s="24"/>
      <c r="EA172" s="24"/>
      <c r="EB172" s="24"/>
      <c r="EC172" s="24"/>
      <c r="ED172" s="24"/>
      <c r="EE172" s="24"/>
      <c r="EF172" s="24"/>
      <c r="EG172" s="24"/>
      <c r="EH172" s="24"/>
      <c r="EI172" s="24"/>
      <c r="EJ172" s="24"/>
      <c r="EK172" s="24"/>
      <c r="EL172" s="24"/>
      <c r="EM172" s="24"/>
      <c r="EN172" s="24"/>
      <c r="EO172" s="24"/>
      <c r="EP172" s="24"/>
      <c r="EQ172" s="24"/>
      <c r="ER172" s="24"/>
      <c r="ES172" s="24"/>
      <c r="ET172" s="24"/>
      <c r="EU172" s="24"/>
      <c r="EV172" s="24"/>
      <c r="EW172" s="24"/>
      <c r="EX172" s="24"/>
      <c r="EY172" s="24"/>
      <c r="EZ172" s="24"/>
      <c r="FA172" s="24"/>
      <c r="FB172" s="24"/>
      <c r="FC172" s="24"/>
      <c r="FD172" s="24"/>
      <c r="FE172" s="24"/>
      <c r="FF172" s="24"/>
      <c r="FG172" s="24"/>
      <c r="FH172" s="24"/>
      <c r="FI172" s="24"/>
      <c r="FJ172" s="24"/>
      <c r="FK172" s="24"/>
      <c r="FL172" s="24"/>
    </row>
    <row r="173" spans="1:168" ht="15.75" customHeight="1">
      <c r="A173" s="176"/>
      <c r="B173" s="177"/>
      <c r="C173" s="177"/>
      <c r="D173" s="177"/>
      <c r="E173" s="177"/>
      <c r="F173" s="177"/>
      <c r="G173" s="178"/>
      <c r="H173" s="179"/>
      <c r="J173" s="185"/>
      <c r="O173" s="182"/>
      <c r="P173" s="182"/>
      <c r="Q173" s="1"/>
      <c r="AC173" s="180"/>
      <c r="AD173" s="180"/>
      <c r="AE173" s="180"/>
      <c r="AJ173" s="191"/>
      <c r="BS173" s="181"/>
      <c r="CC173" s="24"/>
      <c r="CD173" s="24"/>
      <c r="CE173" s="24"/>
      <c r="CF173" s="24"/>
      <c r="CG173" s="24"/>
      <c r="CH173" s="24"/>
      <c r="CI173" s="24"/>
      <c r="CJ173" s="24"/>
      <c r="DE173" s="24"/>
      <c r="DF173" s="24"/>
      <c r="DG173" s="24"/>
      <c r="DH173" s="24"/>
      <c r="DI173" s="24"/>
      <c r="DJ173" s="24"/>
      <c r="DK173" s="24"/>
      <c r="DL173" s="24"/>
      <c r="DM173" s="24"/>
      <c r="DN173" s="24"/>
      <c r="DO173" s="24"/>
      <c r="DP173" s="24"/>
      <c r="DQ173" s="24"/>
      <c r="DR173" s="24"/>
      <c r="DS173" s="24"/>
      <c r="DT173" s="24"/>
      <c r="DU173" s="24"/>
      <c r="DV173" s="24"/>
      <c r="DW173" s="24"/>
      <c r="DX173" s="24"/>
      <c r="DY173" s="24"/>
      <c r="DZ173" s="24"/>
      <c r="EA173" s="24"/>
      <c r="EB173" s="24"/>
      <c r="EC173" s="24"/>
      <c r="ED173" s="24"/>
      <c r="EE173" s="24"/>
      <c r="EF173" s="24"/>
      <c r="EG173" s="24"/>
      <c r="EH173" s="24"/>
      <c r="EI173" s="24"/>
      <c r="EJ173" s="24"/>
      <c r="EK173" s="24"/>
      <c r="EL173" s="24"/>
      <c r="EM173" s="24"/>
      <c r="EN173" s="24"/>
      <c r="EO173" s="24"/>
      <c r="EP173" s="24"/>
      <c r="EQ173" s="24"/>
      <c r="ER173" s="24"/>
      <c r="ES173" s="24"/>
      <c r="ET173" s="24"/>
      <c r="EU173" s="24"/>
      <c r="EV173" s="24"/>
      <c r="EW173" s="24"/>
      <c r="EX173" s="24"/>
      <c r="EY173" s="24"/>
      <c r="EZ173" s="24"/>
      <c r="FA173" s="24"/>
      <c r="FB173" s="24"/>
      <c r="FC173" s="24"/>
      <c r="FD173" s="24"/>
      <c r="FE173" s="24"/>
      <c r="FF173" s="24"/>
      <c r="FG173" s="24"/>
      <c r="FH173" s="24"/>
      <c r="FI173" s="24"/>
      <c r="FJ173" s="24"/>
      <c r="FK173" s="24"/>
      <c r="FL173" s="24"/>
    </row>
    <row r="174" spans="1:168" ht="15.75" customHeight="1">
      <c r="A174" s="176"/>
      <c r="B174" s="177"/>
      <c r="C174" s="177"/>
      <c r="D174" s="177"/>
      <c r="E174" s="177"/>
      <c r="F174" s="177"/>
      <c r="G174" s="178"/>
      <c r="H174" s="179"/>
      <c r="J174" s="185"/>
      <c r="O174" s="182"/>
      <c r="P174" s="182"/>
      <c r="Q174" s="1"/>
      <c r="AC174" s="180"/>
      <c r="AD174" s="180"/>
      <c r="AE174" s="180"/>
      <c r="AJ174" s="191"/>
      <c r="BS174" s="181"/>
      <c r="CC174" s="24"/>
      <c r="CD174" s="24"/>
      <c r="CE174" s="24"/>
      <c r="CF174" s="24"/>
      <c r="CG174" s="24"/>
      <c r="CH174" s="24"/>
      <c r="CI174" s="24"/>
      <c r="CJ174" s="24"/>
      <c r="DE174" s="24"/>
      <c r="DF174" s="24"/>
      <c r="DG174" s="24"/>
      <c r="DH174" s="24"/>
      <c r="DI174" s="24"/>
      <c r="DJ174" s="24"/>
      <c r="DK174" s="24"/>
      <c r="DL174" s="24"/>
      <c r="DM174" s="24"/>
      <c r="DN174" s="24"/>
      <c r="DO174" s="24"/>
      <c r="DP174" s="24"/>
      <c r="DQ174" s="24"/>
      <c r="DR174" s="24"/>
      <c r="DS174" s="24"/>
      <c r="DT174" s="24"/>
      <c r="DU174" s="24"/>
      <c r="DV174" s="24"/>
      <c r="DW174" s="24"/>
      <c r="DX174" s="24"/>
      <c r="DY174" s="24"/>
      <c r="DZ174" s="24"/>
      <c r="EA174" s="24"/>
      <c r="EB174" s="24"/>
      <c r="EC174" s="24"/>
      <c r="ED174" s="24"/>
      <c r="EE174" s="24"/>
      <c r="EF174" s="24"/>
      <c r="EG174" s="24"/>
      <c r="EH174" s="24"/>
      <c r="EI174" s="24"/>
      <c r="EJ174" s="24"/>
      <c r="EK174" s="24"/>
      <c r="EL174" s="24"/>
      <c r="EM174" s="24"/>
      <c r="EN174" s="24"/>
      <c r="EO174" s="24"/>
      <c r="EP174" s="24"/>
      <c r="EQ174" s="24"/>
      <c r="ER174" s="24"/>
      <c r="ES174" s="24"/>
      <c r="ET174" s="24"/>
      <c r="EU174" s="24"/>
      <c r="EV174" s="24"/>
      <c r="EW174" s="24"/>
      <c r="EX174" s="24"/>
      <c r="EY174" s="24"/>
      <c r="EZ174" s="24"/>
      <c r="FA174" s="24"/>
      <c r="FB174" s="24"/>
      <c r="FC174" s="24"/>
      <c r="FD174" s="24"/>
      <c r="FE174" s="24"/>
      <c r="FF174" s="24"/>
      <c r="FG174" s="24"/>
      <c r="FH174" s="24"/>
      <c r="FI174" s="24"/>
      <c r="FJ174" s="24"/>
      <c r="FK174" s="24"/>
      <c r="FL174" s="24"/>
    </row>
    <row r="175" spans="1:168" ht="15.75" customHeight="1">
      <c r="A175" s="176"/>
      <c r="B175" s="177"/>
      <c r="C175" s="177"/>
      <c r="D175" s="177"/>
      <c r="E175" s="177"/>
      <c r="F175" s="177"/>
      <c r="G175" s="178"/>
      <c r="H175" s="179"/>
      <c r="J175" s="185"/>
      <c r="O175" s="182"/>
      <c r="P175" s="182"/>
      <c r="Q175" s="1"/>
      <c r="AC175" s="180"/>
      <c r="AD175" s="180"/>
      <c r="AE175" s="180"/>
      <c r="AJ175" s="191"/>
      <c r="BS175" s="181"/>
      <c r="CC175" s="24"/>
      <c r="CD175" s="24"/>
      <c r="CE175" s="24"/>
      <c r="CF175" s="24"/>
      <c r="CG175" s="24"/>
      <c r="CH175" s="24"/>
      <c r="CI175" s="24"/>
      <c r="CJ175" s="24"/>
      <c r="DE175" s="24"/>
      <c r="DF175" s="24"/>
      <c r="DG175" s="24"/>
      <c r="DH175" s="24"/>
      <c r="DI175" s="24"/>
      <c r="DJ175" s="24"/>
      <c r="DK175" s="24"/>
      <c r="DL175" s="24"/>
      <c r="DM175" s="24"/>
      <c r="DN175" s="24"/>
      <c r="DO175" s="24"/>
      <c r="DP175" s="24"/>
      <c r="DQ175" s="24"/>
      <c r="DR175" s="24"/>
      <c r="DS175" s="24"/>
      <c r="DT175" s="24"/>
      <c r="DU175" s="24"/>
      <c r="DV175" s="24"/>
      <c r="DW175" s="24"/>
      <c r="DX175" s="24"/>
      <c r="DY175" s="24"/>
      <c r="DZ175" s="24"/>
      <c r="EA175" s="24"/>
      <c r="EB175" s="24"/>
      <c r="EC175" s="24"/>
      <c r="ED175" s="24"/>
      <c r="EE175" s="24"/>
      <c r="EF175" s="24"/>
      <c r="EG175" s="24"/>
      <c r="EH175" s="24"/>
      <c r="EI175" s="24"/>
      <c r="EJ175" s="24"/>
      <c r="EK175" s="24"/>
      <c r="EL175" s="24"/>
      <c r="EM175" s="24"/>
      <c r="EN175" s="24"/>
      <c r="EO175" s="24"/>
      <c r="EP175" s="24"/>
      <c r="EQ175" s="24"/>
      <c r="ER175" s="24"/>
      <c r="ES175" s="24"/>
      <c r="ET175" s="24"/>
      <c r="EU175" s="24"/>
      <c r="EV175" s="24"/>
      <c r="EW175" s="24"/>
      <c r="EX175" s="24"/>
      <c r="EY175" s="24"/>
      <c r="EZ175" s="24"/>
      <c r="FA175" s="24"/>
      <c r="FB175" s="24"/>
      <c r="FC175" s="24"/>
      <c r="FD175" s="24"/>
      <c r="FE175" s="24"/>
      <c r="FF175" s="24"/>
      <c r="FG175" s="24"/>
      <c r="FH175" s="24"/>
      <c r="FI175" s="24"/>
      <c r="FJ175" s="24"/>
      <c r="FK175" s="24"/>
      <c r="FL175" s="24"/>
    </row>
    <row r="176" spans="1:168" ht="15.75" customHeight="1">
      <c r="A176" s="176"/>
      <c r="B176" s="177"/>
      <c r="C176" s="177"/>
      <c r="D176" s="177"/>
      <c r="E176" s="177"/>
      <c r="F176" s="177"/>
      <c r="G176" s="178"/>
      <c r="H176" s="179"/>
      <c r="J176" s="185"/>
      <c r="O176" s="182"/>
      <c r="P176" s="182"/>
      <c r="Q176" s="1"/>
      <c r="AC176" s="180"/>
      <c r="AD176" s="180"/>
      <c r="AE176" s="180"/>
      <c r="AJ176" s="191"/>
      <c r="BS176" s="181"/>
      <c r="CC176" s="24"/>
      <c r="CD176" s="24"/>
      <c r="CE176" s="24"/>
      <c r="CF176" s="24"/>
      <c r="CG176" s="24"/>
      <c r="CH176" s="24"/>
      <c r="CI176" s="24"/>
      <c r="CJ176" s="24"/>
      <c r="DE176" s="24"/>
      <c r="DF176" s="24"/>
      <c r="DG176" s="24"/>
      <c r="DH176" s="24"/>
      <c r="DI176" s="24"/>
      <c r="DJ176" s="24"/>
      <c r="DK176" s="24"/>
      <c r="DL176" s="24"/>
      <c r="DM176" s="24"/>
      <c r="DN176" s="24"/>
      <c r="DO176" s="24"/>
      <c r="DP176" s="24"/>
      <c r="DQ176" s="24"/>
      <c r="DR176" s="24"/>
      <c r="DS176" s="24"/>
      <c r="DT176" s="24"/>
      <c r="DU176" s="24"/>
      <c r="DV176" s="24"/>
      <c r="DW176" s="24"/>
      <c r="DX176" s="24"/>
      <c r="DY176" s="24"/>
      <c r="DZ176" s="24"/>
      <c r="EA176" s="24"/>
      <c r="EB176" s="24"/>
      <c r="EC176" s="24"/>
      <c r="ED176" s="24"/>
      <c r="EE176" s="24"/>
      <c r="EF176" s="24"/>
      <c r="EG176" s="24"/>
      <c r="EH176" s="24"/>
      <c r="EI176" s="24"/>
      <c r="EJ176" s="24"/>
      <c r="EK176" s="24"/>
      <c r="EL176" s="24"/>
      <c r="EM176" s="24"/>
      <c r="EN176" s="24"/>
      <c r="EO176" s="24"/>
      <c r="EP176" s="24"/>
      <c r="EQ176" s="24"/>
      <c r="ER176" s="24"/>
      <c r="ES176" s="24"/>
      <c r="ET176" s="24"/>
      <c r="EU176" s="24"/>
      <c r="EV176" s="24"/>
      <c r="EW176" s="24"/>
      <c r="EX176" s="24"/>
      <c r="EY176" s="24"/>
      <c r="EZ176" s="24"/>
      <c r="FA176" s="24"/>
      <c r="FB176" s="24"/>
      <c r="FC176" s="24"/>
      <c r="FD176" s="24"/>
      <c r="FE176" s="24"/>
      <c r="FF176" s="24"/>
      <c r="FG176" s="24"/>
      <c r="FH176" s="24"/>
      <c r="FI176" s="24"/>
      <c r="FJ176" s="24"/>
      <c r="FK176" s="24"/>
      <c r="FL176" s="24"/>
    </row>
    <row r="177" spans="1:168" ht="15.75" customHeight="1">
      <c r="A177" s="176"/>
      <c r="B177" s="177"/>
      <c r="C177" s="177"/>
      <c r="D177" s="177"/>
      <c r="E177" s="177"/>
      <c r="F177" s="177"/>
      <c r="G177" s="178"/>
      <c r="H177" s="179"/>
      <c r="J177" s="185"/>
      <c r="O177" s="182"/>
      <c r="P177" s="182"/>
      <c r="Q177" s="1"/>
      <c r="AC177" s="180"/>
      <c r="AD177" s="180"/>
      <c r="AE177" s="180"/>
      <c r="AJ177" s="191"/>
      <c r="BS177" s="181"/>
      <c r="CC177" s="24"/>
      <c r="CD177" s="24"/>
      <c r="CE177" s="24"/>
      <c r="CF177" s="24"/>
      <c r="CG177" s="24"/>
      <c r="CH177" s="24"/>
      <c r="CI177" s="24"/>
      <c r="CJ177" s="24"/>
      <c r="DE177" s="24"/>
      <c r="DF177" s="24"/>
      <c r="DG177" s="24"/>
      <c r="DH177" s="24"/>
      <c r="DI177" s="24"/>
      <c r="DJ177" s="24"/>
      <c r="DK177" s="24"/>
      <c r="DL177" s="24"/>
      <c r="DM177" s="24"/>
      <c r="DN177" s="24"/>
      <c r="DO177" s="24"/>
      <c r="DP177" s="24"/>
      <c r="DQ177" s="24"/>
      <c r="DR177" s="24"/>
      <c r="DS177" s="24"/>
      <c r="DT177" s="24"/>
      <c r="DU177" s="24"/>
      <c r="DV177" s="24"/>
      <c r="DW177" s="24"/>
      <c r="DX177" s="24"/>
      <c r="DY177" s="24"/>
      <c r="DZ177" s="24"/>
      <c r="EA177" s="24"/>
      <c r="EB177" s="24"/>
      <c r="EC177" s="24"/>
      <c r="ED177" s="24"/>
      <c r="EE177" s="24"/>
      <c r="EF177" s="24"/>
      <c r="EG177" s="24"/>
      <c r="EH177" s="24"/>
      <c r="EI177" s="24"/>
      <c r="EJ177" s="24"/>
      <c r="EK177" s="24"/>
      <c r="EL177" s="24"/>
      <c r="EM177" s="24"/>
      <c r="EN177" s="24"/>
      <c r="EO177" s="24"/>
      <c r="EP177" s="24"/>
      <c r="EQ177" s="24"/>
      <c r="ER177" s="24"/>
      <c r="ES177" s="24"/>
      <c r="ET177" s="24"/>
      <c r="EU177" s="24"/>
      <c r="EV177" s="24"/>
      <c r="EW177" s="24"/>
      <c r="EX177" s="24"/>
      <c r="EY177" s="24"/>
      <c r="EZ177" s="24"/>
      <c r="FA177" s="24"/>
      <c r="FB177" s="24"/>
      <c r="FC177" s="24"/>
      <c r="FD177" s="24"/>
      <c r="FE177" s="24"/>
      <c r="FF177" s="24"/>
      <c r="FG177" s="24"/>
      <c r="FH177" s="24"/>
      <c r="FI177" s="24"/>
      <c r="FJ177" s="24"/>
      <c r="FK177" s="24"/>
      <c r="FL177" s="24"/>
    </row>
    <row r="178" spans="1:168" ht="15.75" customHeight="1">
      <c r="A178" s="176"/>
      <c r="B178" s="177"/>
      <c r="C178" s="177"/>
      <c r="D178" s="177"/>
      <c r="E178" s="177"/>
      <c r="F178" s="177"/>
      <c r="G178" s="178"/>
      <c r="H178" s="179"/>
      <c r="J178" s="185"/>
      <c r="O178" s="182"/>
      <c r="P178" s="182"/>
      <c r="Q178" s="1"/>
      <c r="AC178" s="180"/>
      <c r="AD178" s="180"/>
      <c r="AE178" s="180"/>
      <c r="AJ178" s="191"/>
      <c r="BS178" s="181"/>
      <c r="CC178" s="24"/>
      <c r="CD178" s="24"/>
      <c r="CE178" s="24"/>
      <c r="CF178" s="24"/>
      <c r="CG178" s="24"/>
      <c r="CH178" s="24"/>
      <c r="CI178" s="24"/>
      <c r="CJ178" s="24"/>
      <c r="DE178" s="24"/>
      <c r="DF178" s="24"/>
      <c r="DG178" s="24"/>
      <c r="DH178" s="24"/>
      <c r="DI178" s="24"/>
      <c r="DJ178" s="24"/>
      <c r="DK178" s="24"/>
      <c r="DL178" s="24"/>
      <c r="DM178" s="24"/>
      <c r="DN178" s="24"/>
      <c r="DO178" s="24"/>
      <c r="DP178" s="24"/>
      <c r="DQ178" s="24"/>
      <c r="DR178" s="24"/>
      <c r="DS178" s="24"/>
      <c r="DT178" s="24"/>
      <c r="DU178" s="24"/>
      <c r="DV178" s="24"/>
      <c r="DW178" s="24"/>
      <c r="DX178" s="24"/>
      <c r="DY178" s="24"/>
      <c r="DZ178" s="24"/>
      <c r="EA178" s="24"/>
      <c r="EB178" s="24"/>
      <c r="EC178" s="24"/>
      <c r="ED178" s="24"/>
      <c r="EE178" s="24"/>
      <c r="EF178" s="24"/>
      <c r="EG178" s="24"/>
      <c r="EH178" s="24"/>
      <c r="EI178" s="24"/>
      <c r="EJ178" s="24"/>
      <c r="EK178" s="24"/>
      <c r="EL178" s="24"/>
      <c r="EM178" s="24"/>
      <c r="EN178" s="24"/>
      <c r="EO178" s="24"/>
      <c r="EP178" s="24"/>
      <c r="EQ178" s="24"/>
      <c r="ER178" s="24"/>
      <c r="ES178" s="24"/>
      <c r="ET178" s="24"/>
      <c r="EU178" s="24"/>
      <c r="EV178" s="24"/>
      <c r="EW178" s="24"/>
      <c r="EX178" s="24"/>
      <c r="EY178" s="24"/>
      <c r="EZ178" s="24"/>
      <c r="FA178" s="24"/>
      <c r="FB178" s="24"/>
      <c r="FC178" s="24"/>
      <c r="FD178" s="24"/>
      <c r="FE178" s="24"/>
      <c r="FF178" s="24"/>
      <c r="FG178" s="24"/>
      <c r="FH178" s="24"/>
      <c r="FI178" s="24"/>
      <c r="FJ178" s="24"/>
      <c r="FK178" s="24"/>
      <c r="FL178" s="24"/>
    </row>
    <row r="179" spans="1:168" ht="15.75" customHeight="1">
      <c r="A179" s="176"/>
      <c r="B179" s="177"/>
      <c r="C179" s="177"/>
      <c r="D179" s="177"/>
      <c r="E179" s="177"/>
      <c r="F179" s="177"/>
      <c r="G179" s="178"/>
      <c r="H179" s="179"/>
      <c r="J179" s="185"/>
      <c r="O179" s="182"/>
      <c r="P179" s="182"/>
      <c r="Q179" s="1"/>
      <c r="AC179" s="180"/>
      <c r="AD179" s="180"/>
      <c r="AE179" s="180"/>
      <c r="AJ179" s="191"/>
      <c r="BS179" s="181"/>
      <c r="CC179" s="24"/>
      <c r="CD179" s="24"/>
      <c r="CE179" s="24"/>
      <c r="CF179" s="24"/>
      <c r="CG179" s="24"/>
      <c r="CH179" s="24"/>
      <c r="CI179" s="24"/>
      <c r="CJ179" s="24"/>
      <c r="DE179" s="24"/>
      <c r="DF179" s="24"/>
      <c r="DG179" s="24"/>
      <c r="DH179" s="24"/>
      <c r="DI179" s="24"/>
      <c r="DJ179" s="24"/>
      <c r="DK179" s="24"/>
      <c r="DL179" s="24"/>
      <c r="DM179" s="24"/>
      <c r="DN179" s="24"/>
      <c r="DO179" s="24"/>
      <c r="DP179" s="24"/>
      <c r="DQ179" s="24"/>
      <c r="DR179" s="24"/>
      <c r="DS179" s="24"/>
      <c r="DT179" s="24"/>
      <c r="DU179" s="24"/>
      <c r="DV179" s="24"/>
      <c r="DW179" s="24"/>
      <c r="DX179" s="24"/>
      <c r="DY179" s="24"/>
      <c r="DZ179" s="24"/>
      <c r="EA179" s="24"/>
      <c r="EB179" s="24"/>
      <c r="EC179" s="24"/>
      <c r="ED179" s="24"/>
      <c r="EE179" s="24"/>
      <c r="EF179" s="24"/>
      <c r="EG179" s="24"/>
      <c r="EH179" s="24"/>
      <c r="EI179" s="24"/>
      <c r="EJ179" s="24"/>
      <c r="EK179" s="24"/>
      <c r="EL179" s="24"/>
      <c r="EM179" s="24"/>
      <c r="EN179" s="24"/>
      <c r="EO179" s="24"/>
      <c r="EP179" s="24"/>
      <c r="EQ179" s="24"/>
      <c r="ER179" s="24"/>
      <c r="ES179" s="24"/>
      <c r="ET179" s="24"/>
      <c r="EU179" s="24"/>
      <c r="EV179" s="24"/>
      <c r="EW179" s="24"/>
      <c r="EX179" s="24"/>
      <c r="EY179" s="24"/>
      <c r="EZ179" s="24"/>
      <c r="FA179" s="24"/>
      <c r="FB179" s="24"/>
      <c r="FC179" s="24"/>
      <c r="FD179" s="24"/>
      <c r="FE179" s="24"/>
      <c r="FF179" s="24"/>
      <c r="FG179" s="24"/>
      <c r="FH179" s="24"/>
      <c r="FI179" s="24"/>
      <c r="FJ179" s="24"/>
      <c r="FK179" s="24"/>
      <c r="FL179" s="24"/>
    </row>
    <row r="180" spans="1:168" ht="15.75" customHeight="1">
      <c r="A180" s="176"/>
      <c r="B180" s="177"/>
      <c r="C180" s="177"/>
      <c r="D180" s="177"/>
      <c r="E180" s="177"/>
      <c r="F180" s="177"/>
      <c r="G180" s="178"/>
      <c r="H180" s="179"/>
      <c r="J180" s="185"/>
      <c r="O180" s="182"/>
      <c r="P180" s="182"/>
      <c r="Q180" s="1"/>
      <c r="AC180" s="180"/>
      <c r="AD180" s="180"/>
      <c r="AE180" s="180"/>
      <c r="AJ180" s="191"/>
      <c r="BS180" s="181"/>
      <c r="CC180" s="24"/>
      <c r="CD180" s="24"/>
      <c r="CE180" s="24"/>
      <c r="CF180" s="24"/>
      <c r="CG180" s="24"/>
      <c r="CH180" s="24"/>
      <c r="CI180" s="24"/>
      <c r="CJ180" s="24"/>
      <c r="DE180" s="24"/>
      <c r="DF180" s="24"/>
      <c r="DG180" s="24"/>
      <c r="DH180" s="24"/>
      <c r="DI180" s="24"/>
      <c r="DJ180" s="24"/>
      <c r="DK180" s="24"/>
      <c r="DL180" s="24"/>
      <c r="DM180" s="24"/>
      <c r="DN180" s="24"/>
      <c r="DO180" s="24"/>
      <c r="DP180" s="24"/>
      <c r="DQ180" s="24"/>
      <c r="DR180" s="24"/>
      <c r="DS180" s="24"/>
      <c r="DT180" s="24"/>
      <c r="DU180" s="24"/>
      <c r="DV180" s="24"/>
      <c r="DW180" s="24"/>
      <c r="DX180" s="24"/>
      <c r="DY180" s="24"/>
      <c r="DZ180" s="24"/>
      <c r="EA180" s="24"/>
      <c r="EB180" s="24"/>
      <c r="EC180" s="24"/>
      <c r="ED180" s="24"/>
      <c r="EE180" s="24"/>
      <c r="EF180" s="24"/>
      <c r="EG180" s="24"/>
      <c r="EH180" s="24"/>
      <c r="EI180" s="24"/>
      <c r="EJ180" s="24"/>
      <c r="EK180" s="24"/>
      <c r="EL180" s="24"/>
      <c r="EM180" s="24"/>
      <c r="EN180" s="24"/>
      <c r="EO180" s="24"/>
      <c r="EP180" s="24"/>
      <c r="EQ180" s="24"/>
      <c r="ER180" s="24"/>
      <c r="ES180" s="24"/>
      <c r="ET180" s="24"/>
      <c r="EU180" s="24"/>
      <c r="EV180" s="24"/>
      <c r="EW180" s="24"/>
      <c r="EX180" s="24"/>
      <c r="EY180" s="24"/>
      <c r="EZ180" s="24"/>
      <c r="FA180" s="24"/>
      <c r="FB180" s="24"/>
      <c r="FC180" s="24"/>
      <c r="FD180" s="24"/>
      <c r="FE180" s="24"/>
      <c r="FF180" s="24"/>
      <c r="FG180" s="24"/>
      <c r="FH180" s="24"/>
      <c r="FI180" s="24"/>
      <c r="FJ180" s="24"/>
      <c r="FK180" s="24"/>
      <c r="FL180" s="24"/>
    </row>
    <row r="181" spans="1:168" ht="15.75" customHeight="1">
      <c r="A181" s="176"/>
      <c r="B181" s="177"/>
      <c r="C181" s="177"/>
      <c r="D181" s="177"/>
      <c r="E181" s="177"/>
      <c r="F181" s="177"/>
      <c r="G181" s="178"/>
      <c r="H181" s="179"/>
      <c r="J181" s="185"/>
      <c r="O181" s="182"/>
      <c r="P181" s="182"/>
      <c r="Q181" s="1"/>
      <c r="AC181" s="180"/>
      <c r="AD181" s="180"/>
      <c r="AE181" s="180"/>
      <c r="AJ181" s="191"/>
      <c r="BS181" s="181"/>
      <c r="CC181" s="24"/>
      <c r="CD181" s="24"/>
      <c r="CE181" s="24"/>
      <c r="CF181" s="24"/>
      <c r="CG181" s="24"/>
      <c r="CH181" s="24"/>
      <c r="CI181" s="24"/>
      <c r="CJ181" s="24"/>
      <c r="DE181" s="24"/>
      <c r="DF181" s="24"/>
      <c r="DG181" s="24"/>
      <c r="DH181" s="24"/>
      <c r="DI181" s="24"/>
      <c r="DJ181" s="24"/>
      <c r="DK181" s="24"/>
      <c r="DL181" s="24"/>
      <c r="DM181" s="24"/>
      <c r="DN181" s="24"/>
      <c r="DO181" s="24"/>
      <c r="DP181" s="24"/>
      <c r="DQ181" s="24"/>
      <c r="DR181" s="24"/>
      <c r="DS181" s="24"/>
      <c r="DT181" s="24"/>
      <c r="DU181" s="24"/>
      <c r="DV181" s="24"/>
      <c r="DW181" s="24"/>
      <c r="DX181" s="24"/>
      <c r="DY181" s="24"/>
      <c r="DZ181" s="24"/>
      <c r="EA181" s="24"/>
      <c r="EB181" s="24"/>
      <c r="EC181" s="24"/>
      <c r="ED181" s="24"/>
      <c r="EE181" s="24"/>
      <c r="EF181" s="24"/>
      <c r="EG181" s="24"/>
      <c r="EH181" s="24"/>
      <c r="EI181" s="24"/>
      <c r="EJ181" s="24"/>
      <c r="EK181" s="24"/>
      <c r="EL181" s="24"/>
      <c r="EM181" s="24"/>
      <c r="EN181" s="24"/>
      <c r="EO181" s="24"/>
      <c r="EP181" s="24"/>
      <c r="EQ181" s="24"/>
      <c r="ER181" s="24"/>
      <c r="ES181" s="24"/>
      <c r="ET181" s="24"/>
      <c r="EU181" s="24"/>
      <c r="EV181" s="24"/>
      <c r="EW181" s="24"/>
      <c r="EX181" s="24"/>
      <c r="EY181" s="24"/>
      <c r="EZ181" s="24"/>
      <c r="FA181" s="24"/>
      <c r="FB181" s="24"/>
      <c r="FC181" s="24"/>
      <c r="FD181" s="24"/>
      <c r="FE181" s="24"/>
      <c r="FF181" s="24"/>
      <c r="FG181" s="24"/>
      <c r="FH181" s="24"/>
      <c r="FI181" s="24"/>
      <c r="FJ181" s="24"/>
      <c r="FK181" s="24"/>
      <c r="FL181" s="24"/>
    </row>
    <row r="182" spans="1:168" ht="15.75" customHeight="1">
      <c r="A182" s="176"/>
      <c r="B182" s="177"/>
      <c r="C182" s="177"/>
      <c r="D182" s="177"/>
      <c r="E182" s="177"/>
      <c r="F182" s="177"/>
      <c r="G182" s="178"/>
      <c r="H182" s="179"/>
      <c r="J182" s="185"/>
      <c r="O182" s="182"/>
      <c r="P182" s="182"/>
      <c r="Q182" s="1"/>
      <c r="AC182" s="180"/>
      <c r="AD182" s="180"/>
      <c r="AE182" s="180"/>
      <c r="AJ182" s="191"/>
      <c r="BS182" s="181"/>
      <c r="CC182" s="24"/>
      <c r="CD182" s="24"/>
      <c r="CE182" s="24"/>
      <c r="CF182" s="24"/>
      <c r="CG182" s="24"/>
      <c r="CH182" s="24"/>
      <c r="CI182" s="24"/>
      <c r="CJ182" s="24"/>
      <c r="DE182" s="24"/>
      <c r="DF182" s="24"/>
      <c r="DG182" s="24"/>
      <c r="DH182" s="24"/>
      <c r="DI182" s="24"/>
      <c r="DJ182" s="24"/>
      <c r="DK182" s="24"/>
      <c r="DL182" s="24"/>
      <c r="DM182" s="24"/>
      <c r="DN182" s="24"/>
      <c r="DO182" s="24"/>
      <c r="DP182" s="24"/>
      <c r="DQ182" s="24"/>
      <c r="DR182" s="24"/>
      <c r="DS182" s="24"/>
      <c r="DT182" s="24"/>
      <c r="DU182" s="24"/>
      <c r="DV182" s="24"/>
      <c r="DW182" s="24"/>
      <c r="DX182" s="24"/>
      <c r="DY182" s="24"/>
      <c r="DZ182" s="24"/>
      <c r="EA182" s="24"/>
      <c r="EB182" s="24"/>
      <c r="EC182" s="24"/>
      <c r="ED182" s="24"/>
      <c r="EE182" s="24"/>
      <c r="EF182" s="24"/>
      <c r="EG182" s="24"/>
      <c r="EH182" s="24"/>
      <c r="EI182" s="24"/>
      <c r="EJ182" s="24"/>
      <c r="EK182" s="24"/>
      <c r="EL182" s="24"/>
      <c r="EM182" s="24"/>
      <c r="EN182" s="24"/>
      <c r="EO182" s="24"/>
      <c r="EP182" s="24"/>
      <c r="EQ182" s="24"/>
      <c r="ER182" s="24"/>
      <c r="ES182" s="24"/>
      <c r="ET182" s="24"/>
      <c r="EU182" s="24"/>
      <c r="EV182" s="24"/>
      <c r="EW182" s="24"/>
      <c r="EX182" s="24"/>
      <c r="EY182" s="24"/>
      <c r="EZ182" s="24"/>
      <c r="FA182" s="24"/>
      <c r="FB182" s="24"/>
      <c r="FC182" s="24"/>
      <c r="FD182" s="24"/>
      <c r="FE182" s="24"/>
      <c r="FF182" s="24"/>
      <c r="FG182" s="24"/>
      <c r="FH182" s="24"/>
      <c r="FI182" s="24"/>
      <c r="FJ182" s="24"/>
      <c r="FK182" s="24"/>
      <c r="FL182" s="24"/>
    </row>
    <row r="183" spans="1:168" ht="15.75" customHeight="1">
      <c r="A183" s="176"/>
      <c r="B183" s="177"/>
      <c r="C183" s="177"/>
      <c r="D183" s="177"/>
      <c r="E183" s="177"/>
      <c r="F183" s="177"/>
      <c r="G183" s="178"/>
      <c r="H183" s="179"/>
      <c r="J183" s="185"/>
      <c r="O183" s="182"/>
      <c r="P183" s="182"/>
      <c r="Q183" s="1"/>
      <c r="AC183" s="180"/>
      <c r="AD183" s="180"/>
      <c r="AE183" s="180"/>
      <c r="AJ183" s="191"/>
      <c r="BS183" s="181"/>
      <c r="CC183" s="24"/>
      <c r="CD183" s="24"/>
      <c r="CE183" s="24"/>
      <c r="CF183" s="24"/>
      <c r="CG183" s="24"/>
      <c r="CH183" s="24"/>
      <c r="CI183" s="24"/>
      <c r="CJ183" s="24"/>
      <c r="DE183" s="24"/>
      <c r="DF183" s="24"/>
      <c r="DG183" s="24"/>
      <c r="DH183" s="24"/>
      <c r="DI183" s="24"/>
      <c r="DJ183" s="24"/>
      <c r="DK183" s="24"/>
      <c r="DL183" s="24"/>
      <c r="DM183" s="24"/>
      <c r="DN183" s="24"/>
      <c r="DO183" s="24"/>
      <c r="DP183" s="24"/>
      <c r="DQ183" s="24"/>
      <c r="DR183" s="24"/>
      <c r="DS183" s="24"/>
      <c r="DT183" s="24"/>
      <c r="DU183" s="24"/>
      <c r="DV183" s="24"/>
      <c r="DW183" s="24"/>
      <c r="DX183" s="24"/>
      <c r="DY183" s="24"/>
      <c r="DZ183" s="24"/>
      <c r="EA183" s="24"/>
      <c r="EB183" s="24"/>
      <c r="EC183" s="24"/>
      <c r="ED183" s="24"/>
      <c r="EE183" s="24"/>
      <c r="EF183" s="24"/>
      <c r="EG183" s="24"/>
      <c r="EH183" s="24"/>
      <c r="EI183" s="24"/>
      <c r="EJ183" s="24"/>
      <c r="EK183" s="24"/>
      <c r="EL183" s="24"/>
      <c r="EM183" s="24"/>
      <c r="EN183" s="24"/>
      <c r="EO183" s="24"/>
      <c r="EP183" s="24"/>
      <c r="EQ183" s="24"/>
      <c r="ER183" s="24"/>
      <c r="ES183" s="24"/>
      <c r="ET183" s="24"/>
      <c r="EU183" s="24"/>
      <c r="EV183" s="24"/>
      <c r="EW183" s="24"/>
      <c r="EX183" s="24"/>
      <c r="EY183" s="24"/>
      <c r="EZ183" s="24"/>
      <c r="FA183" s="24"/>
      <c r="FB183" s="24"/>
      <c r="FC183" s="24"/>
      <c r="FD183" s="24"/>
      <c r="FE183" s="24"/>
      <c r="FF183" s="24"/>
      <c r="FG183" s="24"/>
      <c r="FH183" s="24"/>
      <c r="FI183" s="24"/>
      <c r="FJ183" s="24"/>
      <c r="FK183" s="24"/>
      <c r="FL183" s="24"/>
    </row>
    <row r="184" spans="1:168" ht="15.75" customHeight="1">
      <c r="A184" s="176"/>
      <c r="B184" s="177"/>
      <c r="C184" s="177"/>
      <c r="D184" s="177"/>
      <c r="E184" s="177"/>
      <c r="F184" s="177"/>
      <c r="G184" s="178"/>
      <c r="H184" s="179"/>
      <c r="J184" s="185"/>
      <c r="O184" s="182"/>
      <c r="P184" s="182"/>
      <c r="Q184" s="1"/>
      <c r="AC184" s="180"/>
      <c r="AD184" s="180"/>
      <c r="AE184" s="180"/>
      <c r="AJ184" s="191"/>
      <c r="BS184" s="181"/>
      <c r="CC184" s="24"/>
      <c r="CD184" s="24"/>
      <c r="CE184" s="24"/>
      <c r="CF184" s="24"/>
      <c r="CG184" s="24"/>
      <c r="CH184" s="24"/>
      <c r="CI184" s="24"/>
      <c r="CJ184" s="24"/>
      <c r="DE184" s="24"/>
      <c r="DF184" s="24"/>
      <c r="DG184" s="24"/>
      <c r="DH184" s="24"/>
      <c r="DI184" s="24"/>
      <c r="DJ184" s="24"/>
      <c r="DK184" s="24"/>
      <c r="DL184" s="24"/>
      <c r="DM184" s="24"/>
      <c r="DN184" s="24"/>
      <c r="DO184" s="24"/>
      <c r="DP184" s="24"/>
      <c r="DQ184" s="24"/>
      <c r="DR184" s="24"/>
      <c r="DS184" s="24"/>
      <c r="DT184" s="24"/>
      <c r="DU184" s="24"/>
      <c r="DV184" s="24"/>
      <c r="DW184" s="24"/>
      <c r="DX184" s="24"/>
      <c r="DY184" s="24"/>
      <c r="DZ184" s="24"/>
      <c r="EA184" s="24"/>
      <c r="EB184" s="24"/>
      <c r="EC184" s="24"/>
      <c r="ED184" s="24"/>
      <c r="EE184" s="24"/>
      <c r="EF184" s="24"/>
      <c r="EG184" s="24"/>
      <c r="EH184" s="24"/>
      <c r="EI184" s="24"/>
      <c r="EJ184" s="24"/>
      <c r="EK184" s="24"/>
      <c r="EL184" s="24"/>
      <c r="EM184" s="24"/>
      <c r="EN184" s="24"/>
      <c r="EO184" s="24"/>
      <c r="EP184" s="24"/>
      <c r="EQ184" s="24"/>
      <c r="ER184" s="24"/>
      <c r="ES184" s="24"/>
      <c r="ET184" s="24"/>
      <c r="EU184" s="24"/>
      <c r="EV184" s="24"/>
      <c r="EW184" s="24"/>
      <c r="EX184" s="24"/>
      <c r="EY184" s="24"/>
      <c r="EZ184" s="24"/>
      <c r="FA184" s="24"/>
      <c r="FB184" s="24"/>
      <c r="FC184" s="24"/>
      <c r="FD184" s="24"/>
      <c r="FE184" s="24"/>
      <c r="FF184" s="24"/>
      <c r="FG184" s="24"/>
      <c r="FH184" s="24"/>
      <c r="FI184" s="24"/>
      <c r="FJ184" s="24"/>
      <c r="FK184" s="24"/>
      <c r="FL184" s="24"/>
    </row>
    <row r="185" spans="1:168" ht="15.75" customHeight="1">
      <c r="A185" s="176"/>
      <c r="B185" s="177"/>
      <c r="C185" s="177"/>
      <c r="D185" s="177"/>
      <c r="E185" s="177"/>
      <c r="F185" s="177"/>
      <c r="G185" s="178"/>
      <c r="H185" s="179"/>
      <c r="J185" s="185"/>
      <c r="O185" s="182"/>
      <c r="P185" s="182"/>
      <c r="Q185" s="1"/>
      <c r="AC185" s="180"/>
      <c r="AD185" s="180"/>
      <c r="AE185" s="180"/>
      <c r="AJ185" s="191"/>
      <c r="BS185" s="181"/>
      <c r="CC185" s="24"/>
      <c r="CD185" s="24"/>
      <c r="CE185" s="24"/>
      <c r="CF185" s="24"/>
      <c r="CG185" s="24"/>
      <c r="CH185" s="24"/>
      <c r="CI185" s="24"/>
      <c r="CJ185" s="24"/>
      <c r="DE185" s="24"/>
      <c r="DF185" s="24"/>
      <c r="DG185" s="24"/>
      <c r="DH185" s="24"/>
      <c r="DI185" s="24"/>
      <c r="DJ185" s="24"/>
      <c r="DK185" s="24"/>
      <c r="DL185" s="24"/>
      <c r="DM185" s="24"/>
      <c r="DN185" s="24"/>
      <c r="DO185" s="24"/>
      <c r="DP185" s="24"/>
      <c r="DQ185" s="24"/>
      <c r="DR185" s="24"/>
      <c r="DS185" s="24"/>
      <c r="DT185" s="24"/>
      <c r="DU185" s="24"/>
      <c r="DV185" s="24"/>
      <c r="DW185" s="24"/>
      <c r="DX185" s="24"/>
      <c r="DY185" s="24"/>
      <c r="DZ185" s="24"/>
      <c r="EA185" s="24"/>
      <c r="EB185" s="24"/>
      <c r="EC185" s="24"/>
      <c r="ED185" s="24"/>
      <c r="EE185" s="24"/>
      <c r="EF185" s="24"/>
      <c r="EG185" s="24"/>
      <c r="EH185" s="24"/>
      <c r="EI185" s="24"/>
      <c r="EJ185" s="24"/>
      <c r="EK185" s="24"/>
      <c r="EL185" s="24"/>
      <c r="EM185" s="24"/>
      <c r="EN185" s="24"/>
      <c r="EO185" s="24"/>
      <c r="EP185" s="24"/>
      <c r="EQ185" s="24"/>
      <c r="ER185" s="24"/>
      <c r="ES185" s="24"/>
      <c r="ET185" s="24"/>
      <c r="EU185" s="24"/>
      <c r="EV185" s="24"/>
      <c r="EW185" s="24"/>
      <c r="EX185" s="24"/>
      <c r="EY185" s="24"/>
      <c r="EZ185" s="24"/>
      <c r="FA185" s="24"/>
      <c r="FB185" s="24"/>
      <c r="FC185" s="24"/>
      <c r="FD185" s="24"/>
      <c r="FE185" s="24"/>
      <c r="FF185" s="24"/>
      <c r="FG185" s="24"/>
      <c r="FH185" s="24"/>
      <c r="FI185" s="24"/>
      <c r="FJ185" s="24"/>
      <c r="FK185" s="24"/>
      <c r="FL185" s="24"/>
    </row>
    <row r="186" spans="1:168" ht="15.75" customHeight="1">
      <c r="A186" s="176"/>
      <c r="B186" s="177"/>
      <c r="C186" s="177"/>
      <c r="D186" s="177"/>
      <c r="E186" s="177"/>
      <c r="F186" s="177"/>
      <c r="G186" s="178"/>
      <c r="H186" s="179"/>
      <c r="J186" s="185"/>
      <c r="O186" s="182"/>
      <c r="P186" s="182"/>
      <c r="Q186" s="1"/>
      <c r="AC186" s="180"/>
      <c r="AD186" s="180"/>
      <c r="AE186" s="180"/>
      <c r="AJ186" s="191"/>
      <c r="BS186" s="181"/>
      <c r="CC186" s="24"/>
      <c r="CD186" s="24"/>
      <c r="CE186" s="24"/>
      <c r="CF186" s="24"/>
      <c r="CG186" s="24"/>
      <c r="CH186" s="24"/>
      <c r="CI186" s="24"/>
      <c r="CJ186" s="24"/>
      <c r="DE186" s="24"/>
      <c r="DF186" s="24"/>
      <c r="DG186" s="24"/>
      <c r="DH186" s="24"/>
      <c r="DI186" s="24"/>
      <c r="DJ186" s="24"/>
      <c r="DK186" s="24"/>
      <c r="DL186" s="24"/>
      <c r="DM186" s="24"/>
      <c r="DN186" s="24"/>
      <c r="DO186" s="24"/>
      <c r="DP186" s="24"/>
      <c r="DQ186" s="24"/>
      <c r="DR186" s="24"/>
      <c r="DS186" s="24"/>
      <c r="DT186" s="24"/>
      <c r="DU186" s="24"/>
      <c r="DV186" s="24"/>
      <c r="DW186" s="24"/>
      <c r="DX186" s="24"/>
      <c r="DY186" s="24"/>
      <c r="DZ186" s="24"/>
      <c r="EA186" s="24"/>
      <c r="EB186" s="24"/>
      <c r="EC186" s="24"/>
      <c r="ED186" s="24"/>
      <c r="EE186" s="24"/>
      <c r="EF186" s="24"/>
      <c r="EG186" s="24"/>
      <c r="EH186" s="24"/>
      <c r="EI186" s="24"/>
      <c r="EJ186" s="24"/>
      <c r="EK186" s="24"/>
      <c r="EL186" s="24"/>
      <c r="EM186" s="24"/>
      <c r="EN186" s="24"/>
      <c r="EO186" s="24"/>
      <c r="EP186" s="24"/>
      <c r="EQ186" s="24"/>
      <c r="ER186" s="24"/>
      <c r="ES186" s="24"/>
      <c r="ET186" s="24"/>
      <c r="EU186" s="24"/>
      <c r="EV186" s="24"/>
      <c r="EW186" s="24"/>
      <c r="EX186" s="24"/>
      <c r="EY186" s="24"/>
      <c r="EZ186" s="24"/>
      <c r="FA186" s="24"/>
      <c r="FB186" s="24"/>
      <c r="FC186" s="24"/>
      <c r="FD186" s="24"/>
      <c r="FE186" s="24"/>
      <c r="FF186" s="24"/>
      <c r="FG186" s="24"/>
      <c r="FH186" s="24"/>
      <c r="FI186" s="24"/>
      <c r="FJ186" s="24"/>
      <c r="FK186" s="24"/>
      <c r="FL186" s="24"/>
    </row>
    <row r="187" spans="1:168" ht="15.75" customHeight="1">
      <c r="A187" s="176"/>
      <c r="B187" s="177"/>
      <c r="C187" s="177"/>
      <c r="D187" s="177"/>
      <c r="E187" s="177"/>
      <c r="F187" s="177"/>
      <c r="G187" s="178"/>
      <c r="H187" s="179"/>
      <c r="J187" s="185"/>
      <c r="O187" s="182"/>
      <c r="P187" s="182"/>
      <c r="Q187" s="1"/>
      <c r="AC187" s="180"/>
      <c r="AD187" s="180"/>
      <c r="AE187" s="180"/>
      <c r="AJ187" s="191"/>
      <c r="BS187" s="181"/>
      <c r="CC187" s="24"/>
      <c r="CD187" s="24"/>
      <c r="CE187" s="24"/>
      <c r="CF187" s="24"/>
      <c r="CG187" s="24"/>
      <c r="CH187" s="24"/>
      <c r="CI187" s="24"/>
      <c r="CJ187" s="24"/>
      <c r="DE187" s="24"/>
      <c r="DF187" s="24"/>
      <c r="DG187" s="24"/>
      <c r="DH187" s="24"/>
      <c r="DI187" s="24"/>
      <c r="DJ187" s="24"/>
      <c r="DK187" s="24"/>
      <c r="DL187" s="24"/>
      <c r="DM187" s="24"/>
      <c r="DN187" s="24"/>
      <c r="DO187" s="24"/>
      <c r="DP187" s="24"/>
      <c r="DQ187" s="24"/>
      <c r="DR187" s="24"/>
      <c r="DS187" s="24"/>
      <c r="DT187" s="24"/>
      <c r="DU187" s="24"/>
      <c r="DV187" s="24"/>
      <c r="DW187" s="24"/>
      <c r="DX187" s="24"/>
      <c r="DY187" s="24"/>
      <c r="DZ187" s="24"/>
      <c r="EA187" s="24"/>
      <c r="EB187" s="24"/>
      <c r="EC187" s="24"/>
      <c r="ED187" s="24"/>
      <c r="EE187" s="24"/>
      <c r="EF187" s="24"/>
      <c r="EG187" s="24"/>
      <c r="EH187" s="24"/>
      <c r="EI187" s="24"/>
      <c r="EJ187" s="24"/>
      <c r="EK187" s="24"/>
      <c r="EL187" s="24"/>
      <c r="EM187" s="24"/>
      <c r="EN187" s="24"/>
      <c r="EO187" s="24"/>
      <c r="EP187" s="24"/>
      <c r="EQ187" s="24"/>
      <c r="ER187" s="24"/>
      <c r="ES187" s="24"/>
      <c r="ET187" s="24"/>
      <c r="EU187" s="24"/>
      <c r="EV187" s="24"/>
      <c r="EW187" s="24"/>
      <c r="EX187" s="24"/>
      <c r="EY187" s="24"/>
      <c r="EZ187" s="24"/>
      <c r="FA187" s="24"/>
      <c r="FB187" s="24"/>
      <c r="FC187" s="24"/>
      <c r="FD187" s="24"/>
      <c r="FE187" s="24"/>
      <c r="FF187" s="24"/>
      <c r="FG187" s="24"/>
      <c r="FH187" s="24"/>
      <c r="FI187" s="24"/>
      <c r="FJ187" s="24"/>
      <c r="FK187" s="24"/>
      <c r="FL187" s="24"/>
    </row>
    <row r="188" spans="1:168" ht="15.75" customHeight="1">
      <c r="A188" s="176"/>
      <c r="B188" s="177"/>
      <c r="C188" s="177"/>
      <c r="D188" s="177"/>
      <c r="E188" s="177"/>
      <c r="F188" s="177"/>
      <c r="G188" s="178"/>
      <c r="H188" s="179"/>
      <c r="J188" s="185"/>
      <c r="O188" s="182"/>
      <c r="P188" s="182"/>
      <c r="Q188" s="1"/>
      <c r="AC188" s="180"/>
      <c r="AD188" s="180"/>
      <c r="AE188" s="180"/>
      <c r="AJ188" s="191"/>
      <c r="BS188" s="181"/>
      <c r="CC188" s="24"/>
      <c r="CD188" s="24"/>
      <c r="CE188" s="24"/>
      <c r="CF188" s="24"/>
      <c r="CG188" s="24"/>
      <c r="CH188" s="24"/>
      <c r="CI188" s="24"/>
      <c r="CJ188" s="24"/>
      <c r="DE188" s="24"/>
      <c r="DF188" s="24"/>
      <c r="DG188" s="24"/>
      <c r="DH188" s="24"/>
      <c r="DI188" s="24"/>
      <c r="DJ188" s="24"/>
      <c r="DK188" s="24"/>
      <c r="DL188" s="24"/>
      <c r="DM188" s="24"/>
      <c r="DN188" s="24"/>
      <c r="DO188" s="24"/>
      <c r="DP188" s="24"/>
      <c r="DQ188" s="24"/>
      <c r="DR188" s="24"/>
      <c r="DS188" s="24"/>
      <c r="DT188" s="24"/>
      <c r="DU188" s="24"/>
      <c r="DV188" s="24"/>
      <c r="DW188" s="24"/>
      <c r="DX188" s="24"/>
      <c r="DY188" s="24"/>
      <c r="DZ188" s="24"/>
      <c r="EA188" s="24"/>
      <c r="EB188" s="24"/>
      <c r="EC188" s="24"/>
      <c r="ED188" s="24"/>
      <c r="EE188" s="24"/>
      <c r="EF188" s="24"/>
      <c r="EG188" s="24"/>
      <c r="EH188" s="24"/>
      <c r="EI188" s="24"/>
      <c r="EJ188" s="24"/>
      <c r="EK188" s="24"/>
      <c r="EL188" s="24"/>
      <c r="EM188" s="24"/>
      <c r="EN188" s="24"/>
      <c r="EO188" s="24"/>
      <c r="EP188" s="24"/>
      <c r="EQ188" s="24"/>
      <c r="ER188" s="24"/>
      <c r="ES188" s="24"/>
      <c r="ET188" s="24"/>
      <c r="EU188" s="24"/>
      <c r="EV188" s="24"/>
      <c r="EW188" s="24"/>
      <c r="EX188" s="24"/>
      <c r="EY188" s="24"/>
      <c r="EZ188" s="24"/>
      <c r="FA188" s="24"/>
      <c r="FB188" s="24"/>
      <c r="FC188" s="24"/>
      <c r="FD188" s="24"/>
      <c r="FE188" s="24"/>
      <c r="FF188" s="24"/>
      <c r="FG188" s="24"/>
      <c r="FH188" s="24"/>
      <c r="FI188" s="24"/>
      <c r="FJ188" s="24"/>
      <c r="FK188" s="24"/>
      <c r="FL188" s="24"/>
    </row>
    <row r="189" spans="1:168" ht="15.75" customHeight="1">
      <c r="A189" s="176"/>
      <c r="B189" s="177"/>
      <c r="C189" s="177"/>
      <c r="D189" s="177"/>
      <c r="E189" s="177"/>
      <c r="F189" s="177"/>
      <c r="G189" s="178"/>
      <c r="H189" s="179"/>
      <c r="J189" s="185"/>
      <c r="O189" s="182"/>
      <c r="P189" s="182"/>
      <c r="Q189" s="1"/>
      <c r="AC189" s="180"/>
      <c r="AD189" s="180"/>
      <c r="AE189" s="180"/>
      <c r="AJ189" s="191"/>
      <c r="BS189" s="181"/>
      <c r="CC189" s="24"/>
      <c r="CD189" s="24"/>
      <c r="CE189" s="24"/>
      <c r="CF189" s="24"/>
      <c r="CG189" s="24"/>
      <c r="CH189" s="24"/>
      <c r="CI189" s="24"/>
      <c r="CJ189" s="24"/>
      <c r="DE189" s="24"/>
      <c r="DF189" s="24"/>
      <c r="DG189" s="24"/>
      <c r="DH189" s="24"/>
      <c r="DI189" s="24"/>
      <c r="DJ189" s="24"/>
      <c r="DK189" s="24"/>
      <c r="DL189" s="24"/>
      <c r="DM189" s="24"/>
      <c r="DN189" s="24"/>
      <c r="DO189" s="24"/>
      <c r="DP189" s="24"/>
      <c r="DQ189" s="24"/>
      <c r="DR189" s="24"/>
      <c r="DS189" s="24"/>
      <c r="DT189" s="24"/>
      <c r="DU189" s="24"/>
      <c r="DV189" s="24"/>
      <c r="DW189" s="24"/>
      <c r="DX189" s="24"/>
      <c r="DY189" s="24"/>
      <c r="DZ189" s="24"/>
      <c r="EA189" s="24"/>
      <c r="EB189" s="24"/>
      <c r="EC189" s="24"/>
      <c r="ED189" s="24"/>
      <c r="EE189" s="24"/>
      <c r="EF189" s="24"/>
      <c r="EG189" s="24"/>
      <c r="EH189" s="24"/>
      <c r="EI189" s="24"/>
      <c r="EJ189" s="24"/>
      <c r="EK189" s="24"/>
      <c r="EL189" s="24"/>
      <c r="EM189" s="24"/>
      <c r="EN189" s="24"/>
      <c r="EO189" s="24"/>
      <c r="EP189" s="24"/>
      <c r="EQ189" s="24"/>
      <c r="ER189" s="24"/>
      <c r="ES189" s="24"/>
      <c r="ET189" s="24"/>
      <c r="EU189" s="24"/>
      <c r="EV189" s="24"/>
      <c r="EW189" s="24"/>
      <c r="EX189" s="24"/>
      <c r="EY189" s="24"/>
      <c r="EZ189" s="24"/>
      <c r="FA189" s="24"/>
      <c r="FB189" s="24"/>
      <c r="FC189" s="24"/>
      <c r="FD189" s="24"/>
      <c r="FE189" s="24"/>
      <c r="FF189" s="24"/>
      <c r="FG189" s="24"/>
      <c r="FH189" s="24"/>
      <c r="FI189" s="24"/>
      <c r="FJ189" s="24"/>
      <c r="FK189" s="24"/>
      <c r="FL189" s="24"/>
    </row>
    <row r="190" spans="1:168" ht="15.75" customHeight="1">
      <c r="A190" s="176"/>
      <c r="B190" s="177"/>
      <c r="C190" s="177"/>
      <c r="D190" s="177"/>
      <c r="E190" s="177"/>
      <c r="F190" s="177"/>
      <c r="G190" s="178"/>
      <c r="H190" s="179"/>
      <c r="J190" s="185"/>
      <c r="O190" s="182"/>
      <c r="P190" s="182"/>
      <c r="Q190" s="1"/>
      <c r="AC190" s="180"/>
      <c r="AD190" s="180"/>
      <c r="AE190" s="180"/>
      <c r="AJ190" s="191"/>
      <c r="BS190" s="181"/>
      <c r="CC190" s="24"/>
      <c r="CD190" s="24"/>
      <c r="CE190" s="24"/>
      <c r="CF190" s="24"/>
      <c r="CG190" s="24"/>
      <c r="CH190" s="24"/>
      <c r="CI190" s="24"/>
      <c r="CJ190" s="24"/>
      <c r="DE190" s="24"/>
      <c r="DF190" s="24"/>
      <c r="DG190" s="24"/>
      <c r="DH190" s="24"/>
      <c r="DI190" s="24"/>
      <c r="DJ190" s="24"/>
      <c r="DK190" s="24"/>
      <c r="DL190" s="24"/>
      <c r="DM190" s="24"/>
      <c r="DN190" s="24"/>
      <c r="DO190" s="24"/>
      <c r="DP190" s="24"/>
      <c r="DQ190" s="24"/>
      <c r="DR190" s="24"/>
      <c r="DS190" s="24"/>
      <c r="DT190" s="24"/>
      <c r="DU190" s="24"/>
      <c r="DV190" s="24"/>
      <c r="DW190" s="24"/>
      <c r="DX190" s="24"/>
      <c r="DY190" s="24"/>
      <c r="DZ190" s="24"/>
      <c r="EA190" s="24"/>
      <c r="EB190" s="24"/>
      <c r="EC190" s="24"/>
      <c r="ED190" s="24"/>
      <c r="EE190" s="24"/>
      <c r="EF190" s="24"/>
      <c r="EG190" s="24"/>
      <c r="EH190" s="24"/>
      <c r="EI190" s="24"/>
      <c r="EJ190" s="24"/>
      <c r="EK190" s="24"/>
      <c r="EL190" s="24"/>
      <c r="EM190" s="24"/>
      <c r="EN190" s="24"/>
      <c r="EO190" s="24"/>
      <c r="EP190" s="24"/>
      <c r="EQ190" s="24"/>
      <c r="ER190" s="24"/>
      <c r="ES190" s="24"/>
      <c r="ET190" s="24"/>
      <c r="EU190" s="24"/>
      <c r="EV190" s="24"/>
      <c r="EW190" s="24"/>
      <c r="EX190" s="24"/>
      <c r="EY190" s="24"/>
      <c r="EZ190" s="24"/>
      <c r="FA190" s="24"/>
      <c r="FB190" s="24"/>
      <c r="FC190" s="24"/>
      <c r="FD190" s="24"/>
      <c r="FE190" s="24"/>
      <c r="FF190" s="24"/>
      <c r="FG190" s="24"/>
      <c r="FH190" s="24"/>
      <c r="FI190" s="24"/>
      <c r="FJ190" s="24"/>
      <c r="FK190" s="24"/>
      <c r="FL190" s="24"/>
    </row>
    <row r="191" spans="1:168" ht="15.75" customHeight="1">
      <c r="A191" s="176"/>
      <c r="B191" s="177"/>
      <c r="C191" s="177"/>
      <c r="D191" s="177"/>
      <c r="E191" s="177"/>
      <c r="F191" s="177"/>
      <c r="G191" s="178"/>
      <c r="H191" s="179"/>
      <c r="J191" s="185"/>
      <c r="O191" s="182"/>
      <c r="P191" s="182"/>
      <c r="Q191" s="1"/>
      <c r="AC191" s="180"/>
      <c r="AD191" s="180"/>
      <c r="AE191" s="180"/>
      <c r="AJ191" s="191"/>
      <c r="BS191" s="181"/>
      <c r="CC191" s="24"/>
      <c r="CD191" s="24"/>
      <c r="CE191" s="24"/>
      <c r="CF191" s="24"/>
      <c r="CG191" s="24"/>
      <c r="CH191" s="24"/>
      <c r="CI191" s="24"/>
      <c r="CJ191" s="24"/>
      <c r="DE191" s="24"/>
      <c r="DF191" s="24"/>
      <c r="DG191" s="24"/>
      <c r="DH191" s="24"/>
      <c r="DI191" s="24"/>
      <c r="DJ191" s="24"/>
      <c r="DK191" s="24"/>
      <c r="DL191" s="24"/>
      <c r="DM191" s="24"/>
      <c r="DN191" s="24"/>
      <c r="DO191" s="24"/>
      <c r="DP191" s="24"/>
      <c r="DQ191" s="24"/>
      <c r="DR191" s="24"/>
      <c r="DS191" s="24"/>
      <c r="DT191" s="24"/>
      <c r="DU191" s="24"/>
      <c r="DV191" s="24"/>
      <c r="DW191" s="24"/>
      <c r="DX191" s="24"/>
      <c r="DY191" s="24"/>
      <c r="DZ191" s="24"/>
      <c r="EA191" s="24"/>
      <c r="EB191" s="24"/>
      <c r="EC191" s="24"/>
      <c r="ED191" s="24"/>
      <c r="EE191" s="24"/>
      <c r="EF191" s="24"/>
      <c r="EG191" s="24"/>
      <c r="EH191" s="24"/>
      <c r="EI191" s="24"/>
      <c r="EJ191" s="24"/>
      <c r="EK191" s="24"/>
      <c r="EL191" s="24"/>
      <c r="EM191" s="24"/>
      <c r="EN191" s="24"/>
      <c r="EO191" s="24"/>
      <c r="EP191" s="24"/>
      <c r="EQ191" s="24"/>
      <c r="ER191" s="24"/>
      <c r="ES191" s="24"/>
      <c r="ET191" s="24"/>
      <c r="EU191" s="24"/>
      <c r="EV191" s="24"/>
      <c r="EW191" s="24"/>
      <c r="EX191" s="24"/>
      <c r="EY191" s="24"/>
      <c r="EZ191" s="24"/>
      <c r="FA191" s="24"/>
      <c r="FB191" s="24"/>
      <c r="FC191" s="24"/>
      <c r="FD191" s="24"/>
      <c r="FE191" s="24"/>
      <c r="FF191" s="24"/>
      <c r="FG191" s="24"/>
      <c r="FH191" s="24"/>
      <c r="FI191" s="24"/>
      <c r="FJ191" s="24"/>
      <c r="FK191" s="24"/>
      <c r="FL191" s="24"/>
    </row>
    <row r="192" spans="1:168" ht="15.75" customHeight="1">
      <c r="A192" s="176"/>
      <c r="B192" s="177"/>
      <c r="C192" s="177"/>
      <c r="D192" s="177"/>
      <c r="E192" s="177"/>
      <c r="F192" s="177"/>
      <c r="G192" s="178"/>
      <c r="H192" s="179"/>
      <c r="J192" s="185"/>
      <c r="O192" s="182"/>
      <c r="P192" s="182"/>
      <c r="Q192" s="1"/>
      <c r="AC192" s="180"/>
      <c r="AD192" s="180"/>
      <c r="AE192" s="180"/>
      <c r="AJ192" s="191"/>
      <c r="BS192" s="181"/>
      <c r="CC192" s="24"/>
      <c r="CD192" s="24"/>
      <c r="CE192" s="24"/>
      <c r="CF192" s="24"/>
      <c r="CG192" s="24"/>
      <c r="CH192" s="24"/>
      <c r="CI192" s="24"/>
      <c r="CJ192" s="24"/>
      <c r="DE192" s="24"/>
      <c r="DF192" s="24"/>
      <c r="DG192" s="24"/>
      <c r="DH192" s="24"/>
      <c r="DI192" s="24"/>
      <c r="DJ192" s="24"/>
      <c r="DK192" s="24"/>
      <c r="DL192" s="24"/>
      <c r="DM192" s="24"/>
      <c r="DN192" s="24"/>
      <c r="DO192" s="24"/>
      <c r="DP192" s="24"/>
      <c r="DQ192" s="24"/>
      <c r="DR192" s="24"/>
      <c r="DS192" s="24"/>
      <c r="DT192" s="24"/>
      <c r="DU192" s="24"/>
      <c r="DV192" s="24"/>
      <c r="DW192" s="24"/>
      <c r="DX192" s="24"/>
      <c r="DY192" s="24"/>
      <c r="DZ192" s="24"/>
      <c r="EA192" s="24"/>
      <c r="EB192" s="24"/>
      <c r="EC192" s="24"/>
      <c r="ED192" s="24"/>
      <c r="EE192" s="24"/>
      <c r="EF192" s="24"/>
      <c r="EG192" s="24"/>
      <c r="EH192" s="24"/>
      <c r="EI192" s="24"/>
      <c r="EJ192" s="24"/>
      <c r="EK192" s="24"/>
      <c r="EL192" s="24"/>
      <c r="EM192" s="24"/>
      <c r="EN192" s="24"/>
      <c r="EO192" s="24"/>
      <c r="EP192" s="24"/>
      <c r="EQ192" s="24"/>
      <c r="ER192" s="24"/>
      <c r="ES192" s="24"/>
      <c r="ET192" s="24"/>
      <c r="EU192" s="24"/>
      <c r="EV192" s="24"/>
      <c r="EW192" s="24"/>
      <c r="EX192" s="24"/>
      <c r="EY192" s="24"/>
      <c r="EZ192" s="24"/>
      <c r="FA192" s="24"/>
      <c r="FB192" s="24"/>
      <c r="FC192" s="24"/>
      <c r="FD192" s="24"/>
      <c r="FE192" s="24"/>
      <c r="FF192" s="24"/>
      <c r="FG192" s="24"/>
      <c r="FH192" s="24"/>
      <c r="FI192" s="24"/>
      <c r="FJ192" s="24"/>
      <c r="FK192" s="24"/>
      <c r="FL192" s="24"/>
    </row>
    <row r="193" spans="1:168" ht="15.75" customHeight="1">
      <c r="A193" s="176"/>
      <c r="B193" s="177"/>
      <c r="C193" s="177"/>
      <c r="D193" s="177"/>
      <c r="E193" s="177"/>
      <c r="F193" s="177"/>
      <c r="G193" s="178"/>
      <c r="H193" s="179"/>
      <c r="J193" s="185"/>
      <c r="O193" s="182"/>
      <c r="P193" s="182"/>
      <c r="Q193" s="1"/>
      <c r="AC193" s="180"/>
      <c r="AD193" s="180"/>
      <c r="AE193" s="180"/>
      <c r="AJ193" s="191"/>
      <c r="BS193" s="181"/>
      <c r="CC193" s="24"/>
      <c r="CD193" s="24"/>
      <c r="CE193" s="24"/>
      <c r="CF193" s="24"/>
      <c r="CG193" s="24"/>
      <c r="CH193" s="24"/>
      <c r="CI193" s="24"/>
      <c r="CJ193" s="24"/>
      <c r="DE193" s="24"/>
      <c r="DF193" s="24"/>
      <c r="DG193" s="24"/>
      <c r="DH193" s="24"/>
      <c r="DI193" s="24"/>
      <c r="DJ193" s="24"/>
      <c r="DK193" s="24"/>
      <c r="DL193" s="24"/>
      <c r="DM193" s="24"/>
      <c r="DN193" s="24"/>
      <c r="DO193" s="24"/>
      <c r="DP193" s="24"/>
      <c r="DQ193" s="24"/>
      <c r="DR193" s="24"/>
      <c r="DS193" s="24"/>
      <c r="DT193" s="24"/>
      <c r="DU193" s="24"/>
      <c r="DV193" s="24"/>
      <c r="DW193" s="24"/>
      <c r="DX193" s="24"/>
      <c r="DY193" s="24"/>
      <c r="DZ193" s="24"/>
      <c r="EA193" s="24"/>
      <c r="EB193" s="24"/>
      <c r="EC193" s="24"/>
      <c r="ED193" s="24"/>
      <c r="EE193" s="24"/>
      <c r="EF193" s="24"/>
      <c r="EG193" s="24"/>
      <c r="EH193" s="24"/>
      <c r="EI193" s="24"/>
      <c r="EJ193" s="24"/>
      <c r="EK193" s="24"/>
      <c r="EL193" s="24"/>
      <c r="EM193" s="24"/>
      <c r="EN193" s="24"/>
      <c r="EO193" s="24"/>
      <c r="EP193" s="24"/>
      <c r="EQ193" s="24"/>
      <c r="ER193" s="24"/>
      <c r="ES193" s="24"/>
      <c r="ET193" s="24"/>
      <c r="EU193" s="24"/>
      <c r="EV193" s="24"/>
      <c r="EW193" s="24"/>
      <c r="EX193" s="24"/>
      <c r="EY193" s="24"/>
      <c r="EZ193" s="24"/>
      <c r="FA193" s="24"/>
      <c r="FB193" s="24"/>
      <c r="FC193" s="24"/>
      <c r="FD193" s="24"/>
      <c r="FE193" s="24"/>
      <c r="FF193" s="24"/>
      <c r="FG193" s="24"/>
      <c r="FH193" s="24"/>
      <c r="FI193" s="24"/>
      <c r="FJ193" s="24"/>
      <c r="FK193" s="24"/>
      <c r="FL193" s="24"/>
    </row>
    <row r="194" spans="1:168" ht="15.75" customHeight="1">
      <c r="A194" s="176"/>
      <c r="B194" s="177"/>
      <c r="C194" s="177"/>
      <c r="D194" s="177"/>
      <c r="E194" s="177"/>
      <c r="F194" s="177"/>
      <c r="G194" s="178"/>
      <c r="H194" s="179"/>
      <c r="J194" s="185"/>
      <c r="O194" s="182"/>
      <c r="P194" s="182"/>
      <c r="Q194" s="1"/>
      <c r="AC194" s="180"/>
      <c r="AD194" s="180"/>
      <c r="AE194" s="180"/>
      <c r="AJ194" s="191"/>
      <c r="BS194" s="181"/>
      <c r="CC194" s="24"/>
      <c r="CD194" s="24"/>
      <c r="CE194" s="24"/>
      <c r="CF194" s="24"/>
      <c r="CG194" s="24"/>
      <c r="CH194" s="24"/>
      <c r="CI194" s="24"/>
      <c r="CJ194" s="24"/>
      <c r="DE194" s="24"/>
      <c r="DF194" s="24"/>
      <c r="DG194" s="24"/>
      <c r="DH194" s="24"/>
      <c r="DI194" s="24"/>
      <c r="DJ194" s="24"/>
      <c r="DK194" s="24"/>
      <c r="DL194" s="24"/>
      <c r="DM194" s="24"/>
      <c r="DN194" s="24"/>
      <c r="DO194" s="24"/>
      <c r="DP194" s="24"/>
      <c r="DQ194" s="24"/>
      <c r="DR194" s="24"/>
      <c r="DS194" s="24"/>
      <c r="DT194" s="24"/>
      <c r="DU194" s="24"/>
      <c r="DV194" s="24"/>
      <c r="DW194" s="24"/>
      <c r="DX194" s="24"/>
      <c r="DY194" s="24"/>
      <c r="DZ194" s="24"/>
      <c r="EA194" s="24"/>
      <c r="EB194" s="24"/>
      <c r="EC194" s="24"/>
      <c r="ED194" s="24"/>
      <c r="EE194" s="24"/>
      <c r="EF194" s="24"/>
      <c r="EG194" s="24"/>
      <c r="EH194" s="24"/>
      <c r="EI194" s="24"/>
      <c r="EJ194" s="24"/>
      <c r="EK194" s="24"/>
      <c r="EL194" s="24"/>
      <c r="EM194" s="24"/>
      <c r="EN194" s="24"/>
      <c r="EO194" s="24"/>
      <c r="EP194" s="24"/>
      <c r="EQ194" s="24"/>
      <c r="ER194" s="24"/>
      <c r="ES194" s="24"/>
      <c r="ET194" s="24"/>
      <c r="EU194" s="24"/>
      <c r="EV194" s="24"/>
      <c r="EW194" s="24"/>
      <c r="EX194" s="24"/>
      <c r="EY194" s="24"/>
      <c r="EZ194" s="24"/>
      <c r="FA194" s="24"/>
      <c r="FB194" s="24"/>
      <c r="FC194" s="24"/>
      <c r="FD194" s="24"/>
      <c r="FE194" s="24"/>
      <c r="FF194" s="24"/>
      <c r="FG194" s="24"/>
      <c r="FH194" s="24"/>
      <c r="FI194" s="24"/>
      <c r="FJ194" s="24"/>
      <c r="FK194" s="24"/>
      <c r="FL194" s="24"/>
    </row>
    <row r="195" spans="1:168" ht="15.75" customHeight="1">
      <c r="A195" s="176"/>
      <c r="B195" s="177"/>
      <c r="C195" s="177"/>
      <c r="D195" s="177"/>
      <c r="E195" s="177"/>
      <c r="F195" s="177"/>
      <c r="G195" s="178"/>
      <c r="H195" s="179"/>
      <c r="J195" s="185"/>
      <c r="O195" s="182"/>
      <c r="P195" s="182"/>
      <c r="Q195" s="1"/>
      <c r="AC195" s="180"/>
      <c r="AD195" s="180"/>
      <c r="AE195" s="180"/>
      <c r="AJ195" s="191"/>
      <c r="BS195" s="181"/>
      <c r="CC195" s="24"/>
      <c r="CD195" s="24"/>
      <c r="CE195" s="24"/>
      <c r="CF195" s="24"/>
      <c r="CG195" s="24"/>
      <c r="CH195" s="24"/>
      <c r="CI195" s="24"/>
      <c r="CJ195" s="24"/>
      <c r="DE195" s="24"/>
      <c r="DF195" s="24"/>
      <c r="DG195" s="24"/>
      <c r="DH195" s="24"/>
      <c r="DI195" s="24"/>
      <c r="DJ195" s="24"/>
      <c r="DK195" s="24"/>
      <c r="DL195" s="24"/>
      <c r="DM195" s="24"/>
      <c r="DN195" s="24"/>
      <c r="DO195" s="24"/>
      <c r="DP195" s="24"/>
      <c r="DQ195" s="24"/>
      <c r="DR195" s="24"/>
      <c r="DS195" s="24"/>
      <c r="DT195" s="24"/>
      <c r="DU195" s="24"/>
      <c r="DV195" s="24"/>
      <c r="DW195" s="24"/>
      <c r="DX195" s="24"/>
      <c r="DY195" s="24"/>
      <c r="DZ195" s="24"/>
      <c r="EA195" s="24"/>
      <c r="EB195" s="24"/>
      <c r="EC195" s="24"/>
      <c r="ED195" s="24"/>
      <c r="EE195" s="24"/>
      <c r="EF195" s="24"/>
      <c r="EG195" s="24"/>
      <c r="EH195" s="24"/>
      <c r="EI195" s="24"/>
      <c r="EJ195" s="24"/>
      <c r="EK195" s="24"/>
      <c r="EL195" s="24"/>
      <c r="EM195" s="24"/>
      <c r="EN195" s="24"/>
      <c r="EO195" s="24"/>
      <c r="EP195" s="24"/>
      <c r="EQ195" s="24"/>
      <c r="ER195" s="24"/>
      <c r="ES195" s="24"/>
      <c r="ET195" s="24"/>
      <c r="EU195" s="24"/>
      <c r="EV195" s="24"/>
      <c r="EW195" s="24"/>
      <c r="EX195" s="24"/>
      <c r="EY195" s="24"/>
      <c r="EZ195" s="24"/>
      <c r="FA195" s="24"/>
      <c r="FB195" s="24"/>
      <c r="FC195" s="24"/>
      <c r="FD195" s="24"/>
      <c r="FE195" s="24"/>
      <c r="FF195" s="24"/>
      <c r="FG195" s="24"/>
      <c r="FH195" s="24"/>
      <c r="FI195" s="24"/>
      <c r="FJ195" s="24"/>
      <c r="FK195" s="24"/>
      <c r="FL195" s="24"/>
    </row>
    <row r="196" spans="1:168" ht="15.75" customHeight="1">
      <c r="A196" s="176"/>
      <c r="B196" s="177"/>
      <c r="C196" s="177"/>
      <c r="D196" s="177"/>
      <c r="E196" s="177"/>
      <c r="F196" s="177"/>
      <c r="G196" s="178"/>
      <c r="H196" s="179"/>
      <c r="J196" s="185"/>
      <c r="O196" s="182"/>
      <c r="P196" s="182"/>
      <c r="Q196" s="1"/>
      <c r="AC196" s="180"/>
      <c r="AD196" s="180"/>
      <c r="AE196" s="180"/>
      <c r="AJ196" s="191"/>
      <c r="BS196" s="181"/>
      <c r="CC196" s="24"/>
      <c r="CD196" s="24"/>
      <c r="CE196" s="24"/>
      <c r="CF196" s="24"/>
      <c r="CG196" s="24"/>
      <c r="CH196" s="24"/>
      <c r="CI196" s="24"/>
      <c r="CJ196" s="24"/>
      <c r="DE196" s="24"/>
      <c r="DF196" s="24"/>
      <c r="DG196" s="24"/>
      <c r="DH196" s="24"/>
      <c r="DI196" s="24"/>
      <c r="DJ196" s="24"/>
      <c r="DK196" s="24"/>
      <c r="DL196" s="24"/>
      <c r="DM196" s="24"/>
      <c r="DN196" s="24"/>
      <c r="DO196" s="24"/>
      <c r="DP196" s="24"/>
      <c r="DQ196" s="24"/>
      <c r="DR196" s="24"/>
      <c r="DS196" s="24"/>
      <c r="DT196" s="24"/>
      <c r="DU196" s="24"/>
      <c r="DV196" s="24"/>
      <c r="DW196" s="24"/>
      <c r="DX196" s="24"/>
      <c r="DY196" s="24"/>
      <c r="DZ196" s="24"/>
      <c r="EA196" s="24"/>
      <c r="EB196" s="24"/>
      <c r="EC196" s="24"/>
      <c r="ED196" s="24"/>
      <c r="EE196" s="24"/>
      <c r="EF196" s="24"/>
      <c r="EG196" s="24"/>
      <c r="EH196" s="24"/>
      <c r="EI196" s="24"/>
      <c r="EJ196" s="24"/>
      <c r="EK196" s="24"/>
      <c r="EL196" s="24"/>
      <c r="EM196" s="24"/>
      <c r="EN196" s="24"/>
      <c r="EO196" s="24"/>
      <c r="EP196" s="24"/>
      <c r="EQ196" s="24"/>
      <c r="ER196" s="24"/>
      <c r="ES196" s="24"/>
      <c r="ET196" s="24"/>
      <c r="EU196" s="24"/>
      <c r="EV196" s="24"/>
      <c r="EW196" s="24"/>
      <c r="EX196" s="24"/>
      <c r="EY196" s="24"/>
      <c r="EZ196" s="24"/>
      <c r="FA196" s="24"/>
      <c r="FB196" s="24"/>
      <c r="FC196" s="24"/>
      <c r="FD196" s="24"/>
      <c r="FE196" s="24"/>
      <c r="FF196" s="24"/>
      <c r="FG196" s="24"/>
      <c r="FH196" s="24"/>
      <c r="FI196" s="24"/>
      <c r="FJ196" s="24"/>
      <c r="FK196" s="24"/>
      <c r="FL196" s="24"/>
    </row>
    <row r="197" spans="1:168" ht="15.75" customHeight="1">
      <c r="A197" s="176"/>
      <c r="B197" s="177"/>
      <c r="C197" s="177"/>
      <c r="D197" s="177"/>
      <c r="E197" s="177"/>
      <c r="F197" s="177"/>
      <c r="G197" s="178"/>
      <c r="H197" s="179"/>
      <c r="J197" s="185"/>
      <c r="O197" s="182"/>
      <c r="P197" s="182"/>
      <c r="Q197" s="1"/>
      <c r="AC197" s="180"/>
      <c r="AD197" s="180"/>
      <c r="AE197" s="180"/>
      <c r="AJ197" s="191"/>
      <c r="BS197" s="181"/>
      <c r="CC197" s="24"/>
      <c r="CD197" s="24"/>
      <c r="CE197" s="24"/>
      <c r="CF197" s="24"/>
      <c r="CG197" s="24"/>
      <c r="CH197" s="24"/>
      <c r="CI197" s="24"/>
      <c r="CJ197" s="24"/>
      <c r="DE197" s="24"/>
      <c r="DF197" s="24"/>
      <c r="DG197" s="24"/>
      <c r="DH197" s="24"/>
      <c r="DI197" s="24"/>
      <c r="DJ197" s="24"/>
      <c r="DK197" s="24"/>
      <c r="DL197" s="24"/>
      <c r="DM197" s="24"/>
      <c r="DN197" s="24"/>
      <c r="DO197" s="24"/>
      <c r="DP197" s="24"/>
      <c r="DQ197" s="24"/>
      <c r="DR197" s="24"/>
      <c r="DS197" s="24"/>
      <c r="DT197" s="24"/>
      <c r="DU197" s="24"/>
      <c r="DV197" s="24"/>
      <c r="DW197" s="24"/>
      <c r="DX197" s="24"/>
      <c r="DY197" s="24"/>
      <c r="DZ197" s="24"/>
      <c r="EA197" s="24"/>
      <c r="EB197" s="24"/>
      <c r="EC197" s="24"/>
      <c r="ED197" s="24"/>
      <c r="EE197" s="24"/>
      <c r="EF197" s="24"/>
      <c r="EG197" s="24"/>
      <c r="EH197" s="24"/>
      <c r="EI197" s="24"/>
      <c r="EJ197" s="24"/>
      <c r="EK197" s="24"/>
      <c r="EL197" s="24"/>
      <c r="EM197" s="24"/>
      <c r="EN197" s="24"/>
      <c r="EO197" s="24"/>
      <c r="EP197" s="24"/>
      <c r="EQ197" s="24"/>
      <c r="ER197" s="24"/>
      <c r="ES197" s="24"/>
      <c r="ET197" s="24"/>
      <c r="EU197" s="24"/>
      <c r="EV197" s="24"/>
      <c r="EW197" s="24"/>
      <c r="EX197" s="24"/>
      <c r="EY197" s="24"/>
      <c r="EZ197" s="24"/>
      <c r="FA197" s="24"/>
      <c r="FB197" s="24"/>
      <c r="FC197" s="24"/>
      <c r="FD197" s="24"/>
      <c r="FE197" s="24"/>
      <c r="FF197" s="24"/>
      <c r="FG197" s="24"/>
      <c r="FH197" s="24"/>
      <c r="FI197" s="24"/>
      <c r="FJ197" s="24"/>
      <c r="FK197" s="24"/>
      <c r="FL197" s="24"/>
    </row>
    <row r="198" spans="1:168" ht="15.75" customHeight="1">
      <c r="A198" s="176"/>
      <c r="B198" s="177"/>
      <c r="C198" s="177"/>
      <c r="D198" s="177"/>
      <c r="E198" s="177"/>
      <c r="F198" s="177"/>
      <c r="G198" s="178"/>
      <c r="H198" s="179"/>
      <c r="J198" s="185"/>
      <c r="O198" s="182"/>
      <c r="P198" s="182"/>
      <c r="Q198" s="1"/>
      <c r="AC198" s="180"/>
      <c r="AD198" s="180"/>
      <c r="AE198" s="180"/>
      <c r="AJ198" s="191"/>
      <c r="BS198" s="181"/>
      <c r="CC198" s="24"/>
      <c r="CD198" s="24"/>
      <c r="CE198" s="24"/>
      <c r="CF198" s="24"/>
      <c r="CG198" s="24"/>
      <c r="CH198" s="24"/>
      <c r="CI198" s="24"/>
      <c r="CJ198" s="24"/>
      <c r="DE198" s="24"/>
      <c r="DF198" s="24"/>
      <c r="DG198" s="24"/>
      <c r="DH198" s="24"/>
      <c r="DI198" s="24"/>
      <c r="DJ198" s="24"/>
      <c r="DK198" s="24"/>
      <c r="DL198" s="24"/>
      <c r="DM198" s="24"/>
      <c r="DN198" s="24"/>
      <c r="DO198" s="24"/>
      <c r="DP198" s="24"/>
      <c r="DQ198" s="24"/>
      <c r="DR198" s="24"/>
      <c r="DS198" s="24"/>
      <c r="DT198" s="24"/>
      <c r="DU198" s="24"/>
      <c r="DV198" s="24"/>
      <c r="DW198" s="24"/>
      <c r="DX198" s="24"/>
      <c r="DY198" s="24"/>
      <c r="DZ198" s="24"/>
      <c r="EA198" s="24"/>
      <c r="EB198" s="24"/>
      <c r="EC198" s="24"/>
      <c r="ED198" s="24"/>
      <c r="EE198" s="24"/>
      <c r="EF198" s="24"/>
      <c r="EG198" s="24"/>
      <c r="EH198" s="24"/>
      <c r="EI198" s="24"/>
      <c r="EJ198" s="24"/>
      <c r="EK198" s="24"/>
      <c r="EL198" s="24"/>
      <c r="EM198" s="24"/>
      <c r="EN198" s="24"/>
      <c r="EO198" s="24"/>
      <c r="EP198" s="24"/>
      <c r="EQ198" s="24"/>
      <c r="ER198" s="24"/>
      <c r="ES198" s="24"/>
      <c r="ET198" s="24"/>
      <c r="EU198" s="24"/>
      <c r="EV198" s="24"/>
      <c r="EW198" s="24"/>
      <c r="EX198" s="24"/>
      <c r="EY198" s="24"/>
      <c r="EZ198" s="24"/>
      <c r="FA198" s="24"/>
      <c r="FB198" s="24"/>
      <c r="FC198" s="24"/>
      <c r="FD198" s="24"/>
      <c r="FE198" s="24"/>
      <c r="FF198" s="24"/>
      <c r="FG198" s="24"/>
      <c r="FH198" s="24"/>
      <c r="FI198" s="24"/>
      <c r="FJ198" s="24"/>
      <c r="FK198" s="24"/>
      <c r="FL198" s="24"/>
    </row>
    <row r="199" spans="1:168" ht="15.75" customHeight="1">
      <c r="A199" s="176"/>
      <c r="B199" s="177"/>
      <c r="C199" s="177"/>
      <c r="D199" s="177"/>
      <c r="E199" s="177"/>
      <c r="F199" s="177"/>
      <c r="G199" s="178"/>
      <c r="H199" s="179"/>
      <c r="J199" s="185"/>
      <c r="O199" s="182"/>
      <c r="P199" s="182"/>
      <c r="Q199" s="1"/>
      <c r="AC199" s="180"/>
      <c r="AD199" s="180"/>
      <c r="AE199" s="180"/>
      <c r="AJ199" s="191"/>
      <c r="BS199" s="181"/>
      <c r="CC199" s="24"/>
      <c r="CD199" s="24"/>
      <c r="CE199" s="24"/>
      <c r="CF199" s="24"/>
      <c r="CG199" s="24"/>
      <c r="CH199" s="24"/>
      <c r="CI199" s="24"/>
      <c r="CJ199" s="24"/>
      <c r="DE199" s="24"/>
      <c r="DF199" s="24"/>
      <c r="DG199" s="24"/>
      <c r="DH199" s="24"/>
      <c r="DI199" s="24"/>
      <c r="DJ199" s="24"/>
      <c r="DK199" s="24"/>
      <c r="DL199" s="24"/>
      <c r="DM199" s="24"/>
      <c r="DN199" s="24"/>
      <c r="DO199" s="24"/>
      <c r="DP199" s="24"/>
      <c r="DQ199" s="24"/>
      <c r="DR199" s="24"/>
      <c r="DS199" s="24"/>
      <c r="DT199" s="24"/>
      <c r="DU199" s="24"/>
      <c r="DV199" s="24"/>
      <c r="DW199" s="24"/>
      <c r="DX199" s="24"/>
      <c r="DY199" s="24"/>
      <c r="DZ199" s="24"/>
      <c r="EA199" s="24"/>
      <c r="EB199" s="24"/>
      <c r="EC199" s="24"/>
      <c r="ED199" s="24"/>
      <c r="EE199" s="24"/>
      <c r="EF199" s="24"/>
      <c r="EG199" s="24"/>
      <c r="EH199" s="24"/>
      <c r="EI199" s="24"/>
      <c r="EJ199" s="24"/>
      <c r="EK199" s="24"/>
      <c r="EL199" s="24"/>
      <c r="EM199" s="24"/>
      <c r="EN199" s="24"/>
      <c r="EO199" s="24"/>
      <c r="EP199" s="24"/>
      <c r="EQ199" s="24"/>
      <c r="ER199" s="24"/>
      <c r="ES199" s="24"/>
      <c r="ET199" s="24"/>
      <c r="EU199" s="24"/>
      <c r="EV199" s="24"/>
      <c r="EW199" s="24"/>
      <c r="EX199" s="24"/>
      <c r="EY199" s="24"/>
      <c r="EZ199" s="24"/>
      <c r="FA199" s="24"/>
      <c r="FB199" s="24"/>
      <c r="FC199" s="24"/>
      <c r="FD199" s="24"/>
      <c r="FE199" s="24"/>
      <c r="FF199" s="24"/>
      <c r="FG199" s="24"/>
      <c r="FH199" s="24"/>
      <c r="FI199" s="24"/>
      <c r="FJ199" s="24"/>
      <c r="FK199" s="24"/>
      <c r="FL199" s="24"/>
    </row>
    <row r="200" spans="1:168" ht="15.75" customHeight="1">
      <c r="A200" s="176"/>
      <c r="B200" s="177"/>
      <c r="C200" s="177"/>
      <c r="D200" s="177"/>
      <c r="E200" s="177"/>
      <c r="F200" s="177"/>
      <c r="G200" s="178"/>
      <c r="H200" s="179"/>
      <c r="J200" s="185"/>
      <c r="O200" s="182"/>
      <c r="P200" s="182"/>
      <c r="Q200" s="1"/>
      <c r="AC200" s="180"/>
      <c r="AD200" s="180"/>
      <c r="AE200" s="180"/>
      <c r="AJ200" s="191"/>
      <c r="BS200" s="181"/>
      <c r="CC200" s="24"/>
      <c r="CD200" s="24"/>
      <c r="CE200" s="24"/>
      <c r="CF200" s="24"/>
      <c r="CG200" s="24"/>
      <c r="CH200" s="24"/>
      <c r="CI200" s="24"/>
      <c r="CJ200" s="24"/>
      <c r="DE200" s="24"/>
      <c r="DF200" s="24"/>
      <c r="DG200" s="24"/>
      <c r="DH200" s="24"/>
      <c r="DI200" s="24"/>
      <c r="DJ200" s="24"/>
      <c r="DK200" s="24"/>
      <c r="DL200" s="24"/>
      <c r="DM200" s="24"/>
      <c r="DN200" s="24"/>
      <c r="DO200" s="24"/>
      <c r="DP200" s="24"/>
      <c r="DQ200" s="24"/>
      <c r="DR200" s="24"/>
      <c r="DS200" s="24"/>
      <c r="DT200" s="24"/>
      <c r="DU200" s="24"/>
      <c r="DV200" s="24"/>
      <c r="DW200" s="24"/>
      <c r="DX200" s="24"/>
      <c r="DY200" s="24"/>
      <c r="DZ200" s="24"/>
      <c r="EA200" s="24"/>
      <c r="EB200" s="24"/>
      <c r="EC200" s="24"/>
      <c r="ED200" s="24"/>
      <c r="EE200" s="24"/>
      <c r="EF200" s="24"/>
      <c r="EG200" s="24"/>
      <c r="EH200" s="24"/>
      <c r="EI200" s="24"/>
      <c r="EJ200" s="24"/>
      <c r="EK200" s="24"/>
      <c r="EL200" s="24"/>
      <c r="EM200" s="24"/>
      <c r="EN200" s="24"/>
      <c r="EO200" s="24"/>
      <c r="EP200" s="24"/>
      <c r="EQ200" s="24"/>
      <c r="ER200" s="24"/>
      <c r="ES200" s="24"/>
      <c r="ET200" s="24"/>
      <c r="EU200" s="24"/>
      <c r="EV200" s="24"/>
      <c r="EW200" s="24"/>
      <c r="EX200" s="24"/>
      <c r="EY200" s="24"/>
      <c r="EZ200" s="24"/>
      <c r="FA200" s="24"/>
      <c r="FB200" s="24"/>
      <c r="FC200" s="24"/>
      <c r="FD200" s="24"/>
      <c r="FE200" s="24"/>
      <c r="FF200" s="24"/>
      <c r="FG200" s="24"/>
      <c r="FH200" s="24"/>
      <c r="FI200" s="24"/>
      <c r="FJ200" s="24"/>
      <c r="FK200" s="24"/>
      <c r="FL200" s="24"/>
    </row>
    <row r="201" spans="1:168" ht="15.75" customHeight="1">
      <c r="A201" s="176"/>
      <c r="B201" s="177"/>
      <c r="C201" s="177"/>
      <c r="D201" s="177"/>
      <c r="E201" s="177"/>
      <c r="F201" s="177"/>
      <c r="G201" s="178"/>
      <c r="H201" s="179"/>
      <c r="J201" s="185"/>
      <c r="O201" s="182"/>
      <c r="P201" s="182"/>
      <c r="Q201" s="1"/>
      <c r="AC201" s="180"/>
      <c r="AD201" s="180"/>
      <c r="AE201" s="180"/>
      <c r="AJ201" s="191"/>
      <c r="BS201" s="181"/>
      <c r="CC201" s="24"/>
      <c r="CD201" s="24"/>
      <c r="CE201" s="24"/>
      <c r="CF201" s="24"/>
      <c r="CG201" s="24"/>
      <c r="CH201" s="24"/>
      <c r="CI201" s="24"/>
      <c r="CJ201" s="24"/>
      <c r="DE201" s="24"/>
      <c r="DF201" s="24"/>
      <c r="DG201" s="24"/>
      <c r="DH201" s="24"/>
      <c r="DI201" s="24"/>
      <c r="DJ201" s="24"/>
      <c r="DK201" s="24"/>
      <c r="DL201" s="24"/>
      <c r="DM201" s="24"/>
      <c r="DN201" s="24"/>
      <c r="DO201" s="24"/>
      <c r="DP201" s="24"/>
      <c r="DQ201" s="24"/>
      <c r="DR201" s="24"/>
      <c r="DS201" s="24"/>
      <c r="DT201" s="24"/>
      <c r="DU201" s="24"/>
      <c r="DV201" s="24"/>
      <c r="DW201" s="24"/>
      <c r="DX201" s="24"/>
      <c r="DY201" s="24"/>
      <c r="DZ201" s="24"/>
      <c r="EA201" s="24"/>
      <c r="EB201" s="24"/>
      <c r="EC201" s="24"/>
      <c r="ED201" s="24"/>
      <c r="EE201" s="24"/>
      <c r="EF201" s="24"/>
      <c r="EG201" s="24"/>
      <c r="EH201" s="24"/>
      <c r="EI201" s="24"/>
      <c r="EJ201" s="24"/>
      <c r="EK201" s="24"/>
      <c r="EL201" s="24"/>
      <c r="EM201" s="24"/>
      <c r="EN201" s="24"/>
      <c r="EO201" s="24"/>
      <c r="EP201" s="24"/>
      <c r="EQ201" s="24"/>
      <c r="ER201" s="24"/>
      <c r="ES201" s="24"/>
      <c r="ET201" s="24"/>
      <c r="EU201" s="24"/>
      <c r="EV201" s="24"/>
      <c r="EW201" s="24"/>
      <c r="EX201" s="24"/>
      <c r="EY201" s="24"/>
      <c r="EZ201" s="24"/>
      <c r="FA201" s="24"/>
      <c r="FB201" s="24"/>
      <c r="FC201" s="24"/>
      <c r="FD201" s="24"/>
      <c r="FE201" s="24"/>
      <c r="FF201" s="24"/>
      <c r="FG201" s="24"/>
      <c r="FH201" s="24"/>
      <c r="FI201" s="24"/>
      <c r="FJ201" s="24"/>
      <c r="FK201" s="24"/>
      <c r="FL201" s="24"/>
    </row>
    <row r="202" spans="1:168" ht="15.75" customHeight="1">
      <c r="A202" s="176"/>
      <c r="B202" s="177"/>
      <c r="C202" s="177"/>
      <c r="D202" s="177"/>
      <c r="E202" s="177"/>
      <c r="F202" s="177"/>
      <c r="G202" s="178"/>
      <c r="H202" s="179"/>
      <c r="J202" s="185"/>
      <c r="O202" s="182"/>
      <c r="P202" s="182"/>
      <c r="Q202" s="1"/>
      <c r="AC202" s="180"/>
      <c r="AD202" s="180"/>
      <c r="AE202" s="180"/>
      <c r="AJ202" s="191"/>
      <c r="BS202" s="181"/>
      <c r="CC202" s="24"/>
      <c r="CD202" s="24"/>
      <c r="CE202" s="24"/>
      <c r="CF202" s="24"/>
      <c r="CG202" s="24"/>
      <c r="CH202" s="24"/>
      <c r="CI202" s="24"/>
      <c r="CJ202" s="24"/>
      <c r="DE202" s="24"/>
      <c r="DF202" s="24"/>
      <c r="DG202" s="24"/>
      <c r="DH202" s="24"/>
      <c r="DI202" s="24"/>
      <c r="DJ202" s="24"/>
      <c r="DK202" s="24"/>
      <c r="DL202" s="24"/>
      <c r="DM202" s="24"/>
      <c r="DN202" s="24"/>
      <c r="DO202" s="24"/>
      <c r="DP202" s="24"/>
      <c r="DQ202" s="24"/>
      <c r="DR202" s="24"/>
      <c r="DS202" s="24"/>
      <c r="DT202" s="24"/>
      <c r="DU202" s="24"/>
      <c r="DV202" s="24"/>
      <c r="DW202" s="24"/>
      <c r="DX202" s="24"/>
      <c r="DY202" s="24"/>
      <c r="DZ202" s="24"/>
      <c r="EA202" s="24"/>
      <c r="EB202" s="24"/>
      <c r="EC202" s="24"/>
      <c r="ED202" s="24"/>
      <c r="EE202" s="24"/>
      <c r="EF202" s="24"/>
      <c r="EG202" s="24"/>
      <c r="EH202" s="24"/>
      <c r="EI202" s="24"/>
      <c r="EJ202" s="24"/>
      <c r="EK202" s="24"/>
      <c r="EL202" s="24"/>
      <c r="EM202" s="24"/>
      <c r="EN202" s="24"/>
      <c r="EO202" s="24"/>
      <c r="EP202" s="24"/>
      <c r="EQ202" s="24"/>
      <c r="ER202" s="24"/>
      <c r="ES202" s="24"/>
      <c r="ET202" s="24"/>
      <c r="EU202" s="24"/>
      <c r="EV202" s="24"/>
      <c r="EW202" s="24"/>
      <c r="EX202" s="24"/>
      <c r="EY202" s="24"/>
      <c r="EZ202" s="24"/>
      <c r="FA202" s="24"/>
      <c r="FB202" s="24"/>
      <c r="FC202" s="24"/>
      <c r="FD202" s="24"/>
      <c r="FE202" s="24"/>
      <c r="FF202" s="24"/>
      <c r="FG202" s="24"/>
      <c r="FH202" s="24"/>
      <c r="FI202" s="24"/>
      <c r="FJ202" s="24"/>
      <c r="FK202" s="24"/>
      <c r="FL202" s="24"/>
    </row>
    <row r="203" spans="1:168" ht="15.75" customHeight="1">
      <c r="A203" s="176"/>
      <c r="B203" s="177"/>
      <c r="C203" s="177"/>
      <c r="D203" s="177"/>
      <c r="E203" s="177"/>
      <c r="F203" s="177"/>
      <c r="G203" s="178"/>
      <c r="H203" s="179"/>
      <c r="J203" s="185"/>
      <c r="O203" s="182"/>
      <c r="P203" s="182"/>
      <c r="Q203" s="1"/>
      <c r="AC203" s="180"/>
      <c r="AD203" s="180"/>
      <c r="AE203" s="180"/>
      <c r="AJ203" s="191"/>
      <c r="BS203" s="181"/>
      <c r="CC203" s="24"/>
      <c r="CD203" s="24"/>
      <c r="CE203" s="24"/>
      <c r="CF203" s="24"/>
      <c r="CG203" s="24"/>
      <c r="CH203" s="24"/>
      <c r="CI203" s="24"/>
      <c r="CJ203" s="24"/>
      <c r="DE203" s="24"/>
      <c r="DF203" s="24"/>
      <c r="DG203" s="24"/>
      <c r="DH203" s="24"/>
      <c r="DI203" s="24"/>
      <c r="DJ203" s="24"/>
      <c r="DK203" s="24"/>
      <c r="DL203" s="24"/>
      <c r="DM203" s="24"/>
      <c r="DN203" s="24"/>
      <c r="DO203" s="24"/>
      <c r="DP203" s="24"/>
      <c r="DQ203" s="24"/>
      <c r="DR203" s="24"/>
      <c r="DS203" s="24"/>
      <c r="DT203" s="24"/>
      <c r="DU203" s="24"/>
      <c r="DV203" s="24"/>
      <c r="DW203" s="24"/>
      <c r="DX203" s="24"/>
      <c r="DY203" s="24"/>
      <c r="DZ203" s="24"/>
      <c r="EA203" s="24"/>
      <c r="EB203" s="24"/>
      <c r="EC203" s="24"/>
      <c r="ED203" s="24"/>
      <c r="EE203" s="24"/>
      <c r="EF203" s="24"/>
      <c r="EG203" s="24"/>
      <c r="EH203" s="24"/>
      <c r="EI203" s="24"/>
      <c r="EJ203" s="24"/>
      <c r="EK203" s="24"/>
      <c r="EL203" s="24"/>
      <c r="EM203" s="24"/>
      <c r="EN203" s="24"/>
      <c r="EO203" s="24"/>
      <c r="EP203" s="24"/>
      <c r="EQ203" s="24"/>
      <c r="ER203" s="24"/>
      <c r="ES203" s="24"/>
      <c r="ET203" s="24"/>
      <c r="EU203" s="24"/>
      <c r="EV203" s="24"/>
      <c r="EW203" s="24"/>
      <c r="EX203" s="24"/>
      <c r="EY203" s="24"/>
      <c r="EZ203" s="24"/>
      <c r="FA203" s="24"/>
      <c r="FB203" s="24"/>
      <c r="FC203" s="24"/>
      <c r="FD203" s="24"/>
      <c r="FE203" s="24"/>
      <c r="FF203" s="24"/>
      <c r="FG203" s="24"/>
      <c r="FH203" s="24"/>
      <c r="FI203" s="24"/>
      <c r="FJ203" s="24"/>
      <c r="FK203" s="24"/>
      <c r="FL203" s="24"/>
    </row>
    <row r="204" spans="1:168" ht="15.75" customHeight="1">
      <c r="A204" s="176"/>
      <c r="B204" s="177"/>
      <c r="C204" s="177"/>
      <c r="D204" s="177"/>
      <c r="E204" s="177"/>
      <c r="F204" s="177"/>
      <c r="G204" s="178"/>
      <c r="H204" s="179"/>
      <c r="J204" s="185"/>
      <c r="O204" s="182"/>
      <c r="P204" s="182"/>
      <c r="Q204" s="1"/>
      <c r="AC204" s="180"/>
      <c r="AD204" s="180"/>
      <c r="AE204" s="180"/>
      <c r="AJ204" s="191"/>
      <c r="BS204" s="181"/>
      <c r="CC204" s="24"/>
      <c r="CD204" s="24"/>
      <c r="CE204" s="24"/>
      <c r="CF204" s="24"/>
      <c r="CG204" s="24"/>
      <c r="CH204" s="24"/>
      <c r="CI204" s="24"/>
      <c r="CJ204" s="24"/>
      <c r="DE204" s="24"/>
      <c r="DF204" s="24"/>
      <c r="DG204" s="24"/>
      <c r="DH204" s="24"/>
      <c r="DI204" s="24"/>
      <c r="DJ204" s="24"/>
      <c r="DK204" s="24"/>
      <c r="DL204" s="24"/>
      <c r="DM204" s="24"/>
      <c r="DN204" s="24"/>
      <c r="DO204" s="24"/>
      <c r="DP204" s="24"/>
      <c r="DQ204" s="24"/>
      <c r="DR204" s="24"/>
      <c r="DS204" s="24"/>
      <c r="DT204" s="24"/>
      <c r="DU204" s="24"/>
      <c r="DV204" s="24"/>
      <c r="DW204" s="24"/>
      <c r="DX204" s="24"/>
      <c r="DY204" s="24"/>
      <c r="DZ204" s="24"/>
      <c r="EA204" s="24"/>
      <c r="EB204" s="24"/>
      <c r="EC204" s="24"/>
      <c r="ED204" s="24"/>
      <c r="EE204" s="24"/>
      <c r="EF204" s="24"/>
      <c r="EG204" s="24"/>
      <c r="EH204" s="24"/>
      <c r="EI204" s="24"/>
      <c r="EJ204" s="24"/>
      <c r="EK204" s="24"/>
      <c r="EL204" s="24"/>
      <c r="EM204" s="24"/>
      <c r="EN204" s="24"/>
      <c r="EO204" s="24"/>
      <c r="EP204" s="24"/>
      <c r="EQ204" s="24"/>
      <c r="ER204" s="24"/>
      <c r="ES204" s="24"/>
      <c r="ET204" s="24"/>
      <c r="EU204" s="24"/>
      <c r="EV204" s="24"/>
      <c r="EW204" s="24"/>
      <c r="EX204" s="24"/>
      <c r="EY204" s="24"/>
      <c r="EZ204" s="24"/>
      <c r="FA204" s="24"/>
      <c r="FB204" s="24"/>
      <c r="FC204" s="24"/>
      <c r="FD204" s="24"/>
      <c r="FE204" s="24"/>
      <c r="FF204" s="24"/>
      <c r="FG204" s="24"/>
      <c r="FH204" s="24"/>
      <c r="FI204" s="24"/>
      <c r="FJ204" s="24"/>
      <c r="FK204" s="24"/>
      <c r="FL204" s="24"/>
    </row>
    <row r="205" spans="1:168" ht="15.75" customHeight="1">
      <c r="A205" s="176"/>
      <c r="B205" s="177"/>
      <c r="C205" s="177"/>
      <c r="D205" s="177"/>
      <c r="E205" s="177"/>
      <c r="F205" s="177"/>
      <c r="G205" s="178"/>
      <c r="H205" s="179"/>
      <c r="J205" s="185"/>
      <c r="O205" s="182"/>
      <c r="P205" s="182"/>
      <c r="Q205" s="1"/>
      <c r="AC205" s="180"/>
      <c r="AD205" s="180"/>
      <c r="AE205" s="180"/>
      <c r="AJ205" s="191"/>
      <c r="BS205" s="181"/>
      <c r="CC205" s="24"/>
      <c r="CD205" s="24"/>
      <c r="CE205" s="24"/>
      <c r="CF205" s="24"/>
      <c r="CG205" s="24"/>
      <c r="CH205" s="24"/>
      <c r="CI205" s="24"/>
      <c r="CJ205" s="24"/>
      <c r="DE205" s="24"/>
      <c r="DF205" s="24"/>
      <c r="DG205" s="24"/>
      <c r="DH205" s="24"/>
      <c r="DI205" s="24"/>
      <c r="DJ205" s="24"/>
      <c r="DK205" s="24"/>
      <c r="DL205" s="24"/>
      <c r="DM205" s="24"/>
      <c r="DN205" s="24"/>
      <c r="DO205" s="24"/>
      <c r="DP205" s="24"/>
      <c r="DQ205" s="24"/>
      <c r="DR205" s="24"/>
      <c r="DS205" s="24"/>
      <c r="DT205" s="24"/>
      <c r="DU205" s="24"/>
      <c r="DV205" s="24"/>
      <c r="DW205" s="24"/>
      <c r="DX205" s="24"/>
      <c r="DY205" s="24"/>
      <c r="DZ205" s="24"/>
      <c r="EA205" s="24"/>
      <c r="EB205" s="24"/>
      <c r="EC205" s="24"/>
      <c r="ED205" s="24"/>
      <c r="EE205" s="24"/>
      <c r="EF205" s="24"/>
      <c r="EG205" s="24"/>
      <c r="EH205" s="24"/>
      <c r="EI205" s="24"/>
      <c r="EJ205" s="24"/>
      <c r="EK205" s="24"/>
      <c r="EL205" s="24"/>
      <c r="EM205" s="24"/>
      <c r="EN205" s="24"/>
      <c r="EO205" s="24"/>
      <c r="EP205" s="24"/>
      <c r="EQ205" s="24"/>
      <c r="ER205" s="24"/>
      <c r="ES205" s="24"/>
      <c r="ET205" s="24"/>
      <c r="EU205" s="24"/>
      <c r="EV205" s="24"/>
      <c r="EW205" s="24"/>
      <c r="EX205" s="24"/>
      <c r="EY205" s="24"/>
      <c r="EZ205" s="24"/>
      <c r="FA205" s="24"/>
      <c r="FB205" s="24"/>
      <c r="FC205" s="24"/>
      <c r="FD205" s="24"/>
      <c r="FE205" s="24"/>
      <c r="FF205" s="24"/>
      <c r="FG205" s="24"/>
      <c r="FH205" s="24"/>
      <c r="FI205" s="24"/>
      <c r="FJ205" s="24"/>
      <c r="FK205" s="24"/>
      <c r="FL205" s="24"/>
    </row>
    <row r="206" spans="1:168" ht="15.75" customHeight="1">
      <c r="A206" s="176"/>
      <c r="B206" s="177"/>
      <c r="C206" s="177"/>
      <c r="D206" s="177"/>
      <c r="E206" s="177"/>
      <c r="F206" s="177"/>
      <c r="G206" s="178"/>
      <c r="H206" s="179"/>
      <c r="J206" s="185"/>
      <c r="O206" s="182"/>
      <c r="P206" s="182"/>
      <c r="Q206" s="1"/>
      <c r="AC206" s="180"/>
      <c r="AD206" s="180"/>
      <c r="AE206" s="180"/>
      <c r="AJ206" s="191"/>
      <c r="BS206" s="181"/>
      <c r="CC206" s="24"/>
      <c r="CD206" s="24"/>
      <c r="CE206" s="24"/>
      <c r="CF206" s="24"/>
      <c r="CG206" s="24"/>
      <c r="CH206" s="24"/>
      <c r="CI206" s="24"/>
      <c r="CJ206" s="24"/>
      <c r="DE206" s="24"/>
      <c r="DF206" s="24"/>
      <c r="DG206" s="24"/>
      <c r="DH206" s="24"/>
      <c r="DI206" s="24"/>
      <c r="DJ206" s="24"/>
      <c r="DK206" s="24"/>
      <c r="DL206" s="24"/>
      <c r="DM206" s="24"/>
      <c r="DN206" s="24"/>
      <c r="DO206" s="24"/>
      <c r="DP206" s="24"/>
      <c r="DQ206" s="24"/>
      <c r="DR206" s="24"/>
      <c r="DS206" s="24"/>
      <c r="DT206" s="24"/>
      <c r="DU206" s="24"/>
      <c r="DV206" s="24"/>
      <c r="DW206" s="24"/>
      <c r="DX206" s="24"/>
      <c r="DY206" s="24"/>
      <c r="DZ206" s="24"/>
      <c r="EA206" s="24"/>
      <c r="EB206" s="24"/>
      <c r="EC206" s="24"/>
      <c r="ED206" s="24"/>
      <c r="EE206" s="24"/>
      <c r="EF206" s="24"/>
      <c r="EG206" s="24"/>
      <c r="EH206" s="24"/>
      <c r="EI206" s="24"/>
      <c r="EJ206" s="24"/>
      <c r="EK206" s="24"/>
      <c r="EL206" s="24"/>
      <c r="EM206" s="24"/>
      <c r="EN206" s="24"/>
      <c r="EO206" s="24"/>
      <c r="EP206" s="24"/>
      <c r="EQ206" s="24"/>
      <c r="ER206" s="24"/>
      <c r="ES206" s="24"/>
      <c r="ET206" s="24"/>
      <c r="EU206" s="24"/>
      <c r="EV206" s="24"/>
      <c r="EW206" s="24"/>
      <c r="EX206" s="24"/>
      <c r="EY206" s="24"/>
      <c r="EZ206" s="24"/>
      <c r="FA206" s="24"/>
      <c r="FB206" s="24"/>
      <c r="FC206" s="24"/>
      <c r="FD206" s="24"/>
      <c r="FE206" s="24"/>
      <c r="FF206" s="24"/>
      <c r="FG206" s="24"/>
      <c r="FH206" s="24"/>
      <c r="FI206" s="24"/>
      <c r="FJ206" s="24"/>
      <c r="FK206" s="24"/>
      <c r="FL206" s="24"/>
    </row>
    <row r="207" spans="1:168" ht="15.75" customHeight="1">
      <c r="A207" s="176"/>
      <c r="B207" s="177"/>
      <c r="C207" s="177"/>
      <c r="D207" s="177"/>
      <c r="E207" s="177"/>
      <c r="F207" s="177"/>
      <c r="G207" s="178"/>
      <c r="H207" s="179"/>
      <c r="J207" s="185"/>
      <c r="O207" s="182"/>
      <c r="P207" s="182"/>
      <c r="Q207" s="1"/>
      <c r="AC207" s="180"/>
      <c r="AD207" s="180"/>
      <c r="AE207" s="180"/>
      <c r="AJ207" s="191"/>
      <c r="BS207" s="181"/>
      <c r="CC207" s="24"/>
      <c r="CD207" s="24"/>
      <c r="CE207" s="24"/>
      <c r="CF207" s="24"/>
      <c r="CG207" s="24"/>
      <c r="CH207" s="24"/>
      <c r="CI207" s="24"/>
      <c r="CJ207" s="24"/>
      <c r="DE207" s="24"/>
      <c r="DF207" s="24"/>
      <c r="DG207" s="24"/>
      <c r="DH207" s="24"/>
      <c r="DI207" s="24"/>
      <c r="DJ207" s="24"/>
      <c r="DK207" s="24"/>
      <c r="DL207" s="24"/>
      <c r="DM207" s="24"/>
      <c r="DN207" s="24"/>
      <c r="DO207" s="24"/>
      <c r="DP207" s="24"/>
      <c r="DQ207" s="24"/>
      <c r="DR207" s="24"/>
      <c r="DS207" s="24"/>
      <c r="DT207" s="24"/>
      <c r="DU207" s="24"/>
      <c r="DV207" s="24"/>
      <c r="DW207" s="24"/>
      <c r="DX207" s="24"/>
      <c r="DY207" s="24"/>
      <c r="DZ207" s="24"/>
      <c r="EA207" s="24"/>
      <c r="EB207" s="24"/>
      <c r="EC207" s="24"/>
      <c r="ED207" s="24"/>
      <c r="EE207" s="24"/>
      <c r="EF207" s="24"/>
      <c r="EG207" s="24"/>
      <c r="EH207" s="24"/>
      <c r="EI207" s="24"/>
      <c r="EJ207" s="24"/>
      <c r="EK207" s="24"/>
      <c r="EL207" s="24"/>
      <c r="EM207" s="24"/>
      <c r="EN207" s="24"/>
      <c r="EO207" s="24"/>
      <c r="EP207" s="24"/>
      <c r="EQ207" s="24"/>
      <c r="ER207" s="24"/>
      <c r="ES207" s="24"/>
      <c r="ET207" s="24"/>
      <c r="EU207" s="24"/>
      <c r="EV207" s="24"/>
      <c r="EW207" s="24"/>
      <c r="EX207" s="24"/>
      <c r="EY207" s="24"/>
      <c r="EZ207" s="24"/>
      <c r="FA207" s="24"/>
      <c r="FB207" s="24"/>
      <c r="FC207" s="24"/>
      <c r="FD207" s="24"/>
      <c r="FE207" s="24"/>
      <c r="FF207" s="24"/>
      <c r="FG207" s="24"/>
      <c r="FH207" s="24"/>
      <c r="FI207" s="24"/>
      <c r="FJ207" s="24"/>
      <c r="FK207" s="24"/>
      <c r="FL207" s="24"/>
    </row>
    <row r="208" spans="1:168" ht="15.75" customHeight="1">
      <c r="A208" s="176"/>
      <c r="B208" s="177"/>
      <c r="C208" s="177"/>
      <c r="D208" s="177"/>
      <c r="E208" s="177"/>
      <c r="F208" s="177"/>
      <c r="G208" s="178"/>
      <c r="H208" s="179"/>
      <c r="J208" s="185"/>
      <c r="O208" s="182"/>
      <c r="P208" s="182"/>
      <c r="Q208" s="1"/>
      <c r="AC208" s="180"/>
      <c r="AD208" s="180"/>
      <c r="AE208" s="180"/>
      <c r="AJ208" s="191"/>
      <c r="BS208" s="181"/>
      <c r="CC208" s="24"/>
      <c r="CD208" s="24"/>
      <c r="CE208" s="24"/>
      <c r="CF208" s="24"/>
      <c r="CG208" s="24"/>
      <c r="CH208" s="24"/>
      <c r="CI208" s="24"/>
      <c r="CJ208" s="24"/>
      <c r="DE208" s="24"/>
      <c r="DF208" s="24"/>
      <c r="DG208" s="24"/>
      <c r="DH208" s="24"/>
      <c r="DI208" s="24"/>
      <c r="DJ208" s="24"/>
      <c r="DK208" s="24"/>
      <c r="DL208" s="24"/>
      <c r="DM208" s="24"/>
      <c r="DN208" s="24"/>
      <c r="DO208" s="24"/>
      <c r="DP208" s="24"/>
      <c r="DQ208" s="24"/>
      <c r="DR208" s="24"/>
      <c r="DS208" s="24"/>
      <c r="DT208" s="24"/>
      <c r="DU208" s="24"/>
      <c r="DV208" s="24"/>
      <c r="DW208" s="24"/>
      <c r="DX208" s="24"/>
      <c r="DY208" s="24"/>
      <c r="DZ208" s="24"/>
      <c r="EA208" s="24"/>
      <c r="EB208" s="24"/>
      <c r="EC208" s="24"/>
      <c r="ED208" s="24"/>
      <c r="EE208" s="24"/>
      <c r="EF208" s="24"/>
      <c r="EG208" s="24"/>
      <c r="EH208" s="24"/>
      <c r="EI208" s="24"/>
      <c r="EJ208" s="24"/>
      <c r="EK208" s="24"/>
      <c r="EL208" s="24"/>
      <c r="EM208" s="24"/>
      <c r="EN208" s="24"/>
      <c r="EO208" s="24"/>
      <c r="EP208" s="24"/>
      <c r="EQ208" s="24"/>
      <c r="ER208" s="24"/>
      <c r="ES208" s="24"/>
      <c r="ET208" s="24"/>
      <c r="EU208" s="24"/>
      <c r="EV208" s="24"/>
      <c r="EW208" s="24"/>
      <c r="EX208" s="24"/>
      <c r="EY208" s="24"/>
      <c r="EZ208" s="24"/>
      <c r="FA208" s="24"/>
      <c r="FB208" s="24"/>
      <c r="FC208" s="24"/>
      <c r="FD208" s="24"/>
      <c r="FE208" s="24"/>
      <c r="FF208" s="24"/>
      <c r="FG208" s="24"/>
      <c r="FH208" s="24"/>
      <c r="FI208" s="24"/>
      <c r="FJ208" s="24"/>
      <c r="FK208" s="24"/>
      <c r="FL208" s="24"/>
    </row>
    <row r="209" spans="1:168" ht="15.75" customHeight="1">
      <c r="A209" s="176"/>
      <c r="B209" s="177"/>
      <c r="C209" s="177"/>
      <c r="D209" s="177"/>
      <c r="E209" s="177"/>
      <c r="F209" s="177"/>
      <c r="G209" s="178"/>
      <c r="H209" s="179"/>
      <c r="J209" s="185"/>
      <c r="O209" s="182"/>
      <c r="P209" s="182"/>
      <c r="Q209" s="1"/>
      <c r="AC209" s="180"/>
      <c r="AD209" s="180"/>
      <c r="AE209" s="180"/>
      <c r="AJ209" s="191"/>
      <c r="BS209" s="181"/>
      <c r="CC209" s="24"/>
      <c r="CD209" s="24"/>
      <c r="CE209" s="24"/>
      <c r="CF209" s="24"/>
      <c r="CG209" s="24"/>
      <c r="CH209" s="24"/>
      <c r="CI209" s="24"/>
      <c r="CJ209" s="24"/>
      <c r="DE209" s="24"/>
      <c r="DF209" s="24"/>
      <c r="DG209" s="24"/>
      <c r="DH209" s="24"/>
      <c r="DI209" s="24"/>
      <c r="DJ209" s="24"/>
      <c r="DK209" s="24"/>
      <c r="DL209" s="24"/>
      <c r="DM209" s="24"/>
      <c r="DN209" s="24"/>
      <c r="DO209" s="24"/>
      <c r="DP209" s="24"/>
      <c r="DQ209" s="24"/>
      <c r="DR209" s="24"/>
      <c r="DS209" s="24"/>
      <c r="DT209" s="24"/>
      <c r="DU209" s="24"/>
      <c r="DV209" s="24"/>
      <c r="DW209" s="24"/>
      <c r="DX209" s="24"/>
      <c r="DY209" s="24"/>
      <c r="DZ209" s="24"/>
      <c r="EA209" s="24"/>
      <c r="EB209" s="24"/>
      <c r="EC209" s="24"/>
      <c r="ED209" s="24"/>
      <c r="EE209" s="24"/>
      <c r="EF209" s="24"/>
      <c r="EG209" s="24"/>
      <c r="EH209" s="24"/>
      <c r="EI209" s="24"/>
      <c r="EJ209" s="24"/>
      <c r="EK209" s="24"/>
      <c r="EL209" s="24"/>
      <c r="EM209" s="24"/>
      <c r="EN209" s="24"/>
      <c r="EO209" s="24"/>
      <c r="EP209" s="24"/>
      <c r="EQ209" s="24"/>
      <c r="ER209" s="24"/>
      <c r="ES209" s="24"/>
      <c r="ET209" s="24"/>
      <c r="EU209" s="24"/>
      <c r="EV209" s="24"/>
      <c r="EW209" s="24"/>
      <c r="EX209" s="24"/>
      <c r="EY209" s="24"/>
      <c r="EZ209" s="24"/>
      <c r="FA209" s="24"/>
      <c r="FB209" s="24"/>
      <c r="FC209" s="24"/>
      <c r="FD209" s="24"/>
      <c r="FE209" s="24"/>
      <c r="FF209" s="24"/>
      <c r="FG209" s="24"/>
      <c r="FH209" s="24"/>
      <c r="FI209" s="24"/>
      <c r="FJ209" s="24"/>
      <c r="FK209" s="24"/>
      <c r="FL209" s="24"/>
    </row>
    <row r="210" spans="1:168" ht="15.75" customHeight="1">
      <c r="A210" s="176"/>
      <c r="B210" s="177"/>
      <c r="C210" s="177"/>
      <c r="D210" s="177"/>
      <c r="E210" s="177"/>
      <c r="F210" s="177"/>
      <c r="G210" s="178"/>
      <c r="H210" s="179"/>
      <c r="J210" s="185"/>
      <c r="O210" s="182"/>
      <c r="P210" s="182"/>
      <c r="Q210" s="1"/>
      <c r="AC210" s="180"/>
      <c r="AD210" s="180"/>
      <c r="AE210" s="180"/>
      <c r="AJ210" s="191"/>
      <c r="BS210" s="181"/>
      <c r="CC210" s="24"/>
      <c r="CD210" s="24"/>
      <c r="CE210" s="24"/>
      <c r="CF210" s="24"/>
      <c r="CG210" s="24"/>
      <c r="CH210" s="24"/>
      <c r="CI210" s="24"/>
      <c r="CJ210" s="24"/>
      <c r="DE210" s="24"/>
      <c r="DF210" s="24"/>
      <c r="DG210" s="24"/>
      <c r="DH210" s="24"/>
      <c r="DI210" s="24"/>
      <c r="DJ210" s="24"/>
      <c r="DK210" s="24"/>
      <c r="DL210" s="24"/>
      <c r="DM210" s="24"/>
      <c r="DN210" s="24"/>
      <c r="DO210" s="24"/>
      <c r="DP210" s="24"/>
      <c r="DQ210" s="24"/>
      <c r="DR210" s="24"/>
      <c r="DS210" s="24"/>
      <c r="DT210" s="24"/>
      <c r="DU210" s="24"/>
      <c r="DV210" s="24"/>
      <c r="DW210" s="24"/>
      <c r="DX210" s="24"/>
      <c r="DY210" s="24"/>
      <c r="DZ210" s="24"/>
      <c r="EA210" s="24"/>
      <c r="EB210" s="24"/>
      <c r="EC210" s="24"/>
      <c r="ED210" s="24"/>
      <c r="EE210" s="24"/>
      <c r="EF210" s="24"/>
      <c r="EG210" s="24"/>
      <c r="EH210" s="24"/>
      <c r="EI210" s="24"/>
      <c r="EJ210" s="24"/>
      <c r="EK210" s="24"/>
      <c r="EL210" s="24"/>
      <c r="EM210" s="24"/>
      <c r="EN210" s="24"/>
      <c r="EO210" s="24"/>
      <c r="EP210" s="24"/>
      <c r="EQ210" s="24"/>
      <c r="ER210" s="24"/>
      <c r="ES210" s="24"/>
      <c r="ET210" s="24"/>
      <c r="EU210" s="24"/>
      <c r="EV210" s="24"/>
      <c r="EW210" s="24"/>
      <c r="EX210" s="24"/>
      <c r="EY210" s="24"/>
      <c r="EZ210" s="24"/>
      <c r="FA210" s="24"/>
      <c r="FB210" s="24"/>
      <c r="FC210" s="24"/>
      <c r="FD210" s="24"/>
      <c r="FE210" s="24"/>
      <c r="FF210" s="24"/>
      <c r="FG210" s="24"/>
      <c r="FH210" s="24"/>
      <c r="FI210" s="24"/>
      <c r="FJ210" s="24"/>
      <c r="FK210" s="24"/>
      <c r="FL210" s="24"/>
    </row>
    <row r="211" spans="1:168" ht="15.75" customHeight="1">
      <c r="A211" s="176"/>
      <c r="B211" s="177"/>
      <c r="C211" s="177"/>
      <c r="D211" s="177"/>
      <c r="E211" s="177"/>
      <c r="F211" s="177"/>
      <c r="G211" s="178"/>
      <c r="H211" s="179"/>
      <c r="J211" s="185"/>
      <c r="O211" s="182"/>
      <c r="P211" s="182"/>
      <c r="Q211" s="1"/>
      <c r="AC211" s="180"/>
      <c r="AD211" s="180"/>
      <c r="AE211" s="180"/>
      <c r="AJ211" s="191"/>
      <c r="BS211" s="181"/>
      <c r="CC211" s="24"/>
      <c r="CD211" s="24"/>
      <c r="CE211" s="24"/>
      <c r="CF211" s="24"/>
      <c r="CG211" s="24"/>
      <c r="CH211" s="24"/>
      <c r="CI211" s="24"/>
      <c r="CJ211" s="24"/>
      <c r="DE211" s="24"/>
      <c r="DF211" s="24"/>
      <c r="DG211" s="24"/>
      <c r="DH211" s="24"/>
      <c r="DI211" s="24"/>
      <c r="DJ211" s="24"/>
      <c r="DK211" s="24"/>
      <c r="DL211" s="24"/>
      <c r="DM211" s="24"/>
      <c r="DN211" s="24"/>
      <c r="DO211" s="24"/>
      <c r="DP211" s="24"/>
      <c r="DQ211" s="24"/>
      <c r="DR211" s="24"/>
      <c r="DS211" s="24"/>
      <c r="DT211" s="24"/>
      <c r="DU211" s="24"/>
      <c r="DV211" s="24"/>
      <c r="DW211" s="24"/>
      <c r="DX211" s="24"/>
      <c r="DY211" s="24"/>
      <c r="DZ211" s="24"/>
      <c r="EA211" s="24"/>
      <c r="EB211" s="24"/>
      <c r="EC211" s="24"/>
      <c r="ED211" s="24"/>
      <c r="EE211" s="24"/>
      <c r="EF211" s="24"/>
      <c r="EG211" s="24"/>
      <c r="EH211" s="24"/>
      <c r="EI211" s="24"/>
      <c r="EJ211" s="24"/>
      <c r="EK211" s="24"/>
      <c r="EL211" s="24"/>
      <c r="EM211" s="24"/>
      <c r="EN211" s="24"/>
      <c r="EO211" s="24"/>
      <c r="EP211" s="24"/>
      <c r="EQ211" s="24"/>
      <c r="ER211" s="24"/>
      <c r="ES211" s="24"/>
      <c r="ET211" s="24"/>
      <c r="EU211" s="24"/>
      <c r="EV211" s="24"/>
      <c r="EW211" s="24"/>
      <c r="EX211" s="24"/>
      <c r="EY211" s="24"/>
      <c r="EZ211" s="24"/>
      <c r="FA211" s="24"/>
      <c r="FB211" s="24"/>
      <c r="FC211" s="24"/>
      <c r="FD211" s="24"/>
      <c r="FE211" s="24"/>
      <c r="FF211" s="24"/>
      <c r="FG211" s="24"/>
      <c r="FH211" s="24"/>
      <c r="FI211" s="24"/>
      <c r="FJ211" s="24"/>
      <c r="FK211" s="24"/>
      <c r="FL211" s="24"/>
    </row>
    <row r="212" spans="1:168" ht="15.75" customHeight="1">
      <c r="A212" s="176"/>
      <c r="B212" s="177"/>
      <c r="C212" s="177"/>
      <c r="D212" s="177"/>
      <c r="E212" s="177"/>
      <c r="F212" s="177"/>
      <c r="G212" s="178"/>
      <c r="H212" s="179"/>
      <c r="J212" s="185"/>
      <c r="O212" s="182"/>
      <c r="P212" s="182"/>
      <c r="Q212" s="1"/>
      <c r="AC212" s="180"/>
      <c r="AD212" s="180"/>
      <c r="AE212" s="180"/>
      <c r="AJ212" s="191"/>
      <c r="BS212" s="181"/>
      <c r="CC212" s="24"/>
      <c r="CD212" s="24"/>
      <c r="CE212" s="24"/>
      <c r="CF212" s="24"/>
      <c r="CG212" s="24"/>
      <c r="CH212" s="24"/>
      <c r="CI212" s="24"/>
      <c r="CJ212" s="24"/>
      <c r="DE212" s="24"/>
      <c r="DF212" s="24"/>
      <c r="DG212" s="24"/>
      <c r="DH212" s="24"/>
      <c r="DI212" s="24"/>
      <c r="DJ212" s="24"/>
      <c r="DK212" s="24"/>
      <c r="DL212" s="24"/>
      <c r="DM212" s="24"/>
      <c r="DN212" s="24"/>
      <c r="DO212" s="24"/>
      <c r="DP212" s="24"/>
      <c r="DQ212" s="24"/>
      <c r="DR212" s="24"/>
      <c r="DS212" s="24"/>
      <c r="DT212" s="24"/>
      <c r="DU212" s="24"/>
      <c r="DV212" s="24"/>
      <c r="DW212" s="24"/>
      <c r="DX212" s="24"/>
      <c r="DY212" s="24"/>
      <c r="DZ212" s="24"/>
      <c r="EA212" s="24"/>
      <c r="EB212" s="24"/>
      <c r="EC212" s="24"/>
      <c r="ED212" s="24"/>
      <c r="EE212" s="24"/>
      <c r="EF212" s="24"/>
      <c r="EG212" s="24"/>
      <c r="EH212" s="24"/>
      <c r="EI212" s="24"/>
      <c r="EJ212" s="24"/>
      <c r="EK212" s="24"/>
      <c r="EL212" s="24"/>
      <c r="EM212" s="24"/>
      <c r="EN212" s="24"/>
      <c r="EO212" s="24"/>
      <c r="EP212" s="24"/>
      <c r="EQ212" s="24"/>
      <c r="ER212" s="24"/>
      <c r="ES212" s="24"/>
      <c r="ET212" s="24"/>
      <c r="EU212" s="24"/>
      <c r="EV212" s="24"/>
      <c r="EW212" s="24"/>
      <c r="EX212" s="24"/>
      <c r="EY212" s="24"/>
      <c r="EZ212" s="24"/>
      <c r="FA212" s="24"/>
      <c r="FB212" s="24"/>
      <c r="FC212" s="24"/>
      <c r="FD212" s="24"/>
      <c r="FE212" s="24"/>
      <c r="FF212" s="24"/>
      <c r="FG212" s="24"/>
      <c r="FH212" s="24"/>
      <c r="FI212" s="24"/>
      <c r="FJ212" s="24"/>
      <c r="FK212" s="24"/>
      <c r="FL212" s="24"/>
    </row>
    <row r="213" spans="1:168" ht="15.75" customHeight="1">
      <c r="A213" s="176"/>
      <c r="B213" s="177"/>
      <c r="C213" s="177"/>
      <c r="D213" s="177"/>
      <c r="E213" s="177"/>
      <c r="F213" s="177"/>
      <c r="G213" s="178"/>
      <c r="H213" s="179"/>
      <c r="J213" s="185"/>
      <c r="O213" s="182"/>
      <c r="P213" s="182"/>
      <c r="Q213" s="1"/>
      <c r="AC213" s="180"/>
      <c r="AD213" s="180"/>
      <c r="AE213" s="180"/>
      <c r="AJ213" s="191"/>
      <c r="BS213" s="181"/>
      <c r="CC213" s="24"/>
      <c r="CD213" s="24"/>
      <c r="CE213" s="24"/>
      <c r="CF213" s="24"/>
      <c r="CG213" s="24"/>
      <c r="CH213" s="24"/>
      <c r="CI213" s="24"/>
      <c r="CJ213" s="24"/>
      <c r="DE213" s="24"/>
      <c r="DF213" s="24"/>
      <c r="DG213" s="24"/>
      <c r="DH213" s="24"/>
      <c r="DI213" s="24"/>
      <c r="DJ213" s="24"/>
      <c r="DK213" s="24"/>
      <c r="DL213" s="24"/>
      <c r="DM213" s="24"/>
      <c r="DN213" s="24"/>
      <c r="DO213" s="24"/>
      <c r="DP213" s="24"/>
      <c r="DQ213" s="24"/>
      <c r="DR213" s="24"/>
      <c r="DS213" s="24"/>
      <c r="DT213" s="24"/>
      <c r="DU213" s="24"/>
      <c r="DV213" s="24"/>
      <c r="DW213" s="24"/>
      <c r="DX213" s="24"/>
      <c r="DY213" s="24"/>
      <c r="DZ213" s="24"/>
      <c r="EA213" s="24"/>
      <c r="EB213" s="24"/>
      <c r="EC213" s="24"/>
      <c r="ED213" s="24"/>
      <c r="EE213" s="24"/>
      <c r="EF213" s="24"/>
      <c r="EG213" s="24"/>
      <c r="EH213" s="24"/>
      <c r="EI213" s="24"/>
      <c r="EJ213" s="24"/>
      <c r="EK213" s="24"/>
      <c r="EL213" s="24"/>
      <c r="EM213" s="24"/>
      <c r="EN213" s="24"/>
      <c r="EO213" s="24"/>
      <c r="EP213" s="24"/>
      <c r="EQ213" s="24"/>
      <c r="ER213" s="24"/>
      <c r="ES213" s="24"/>
      <c r="ET213" s="24"/>
      <c r="EU213" s="24"/>
      <c r="EV213" s="24"/>
      <c r="EW213" s="24"/>
      <c r="EX213" s="24"/>
      <c r="EY213" s="24"/>
      <c r="EZ213" s="24"/>
      <c r="FA213" s="24"/>
      <c r="FB213" s="24"/>
      <c r="FC213" s="24"/>
      <c r="FD213" s="24"/>
      <c r="FE213" s="24"/>
      <c r="FF213" s="24"/>
      <c r="FG213" s="24"/>
      <c r="FH213" s="24"/>
      <c r="FI213" s="24"/>
      <c r="FJ213" s="24"/>
      <c r="FK213" s="24"/>
      <c r="FL213" s="24"/>
    </row>
    <row r="214" spans="1:168" ht="15.75" customHeight="1">
      <c r="A214" s="176"/>
      <c r="B214" s="177"/>
      <c r="C214" s="177"/>
      <c r="D214" s="177"/>
      <c r="E214" s="177"/>
      <c r="F214" s="177"/>
      <c r="G214" s="178"/>
      <c r="H214" s="179"/>
      <c r="J214" s="185"/>
      <c r="O214" s="182"/>
      <c r="P214" s="182"/>
      <c r="Q214" s="1"/>
      <c r="AC214" s="180"/>
      <c r="AD214" s="180"/>
      <c r="AE214" s="180"/>
      <c r="AJ214" s="191"/>
      <c r="BS214" s="181"/>
      <c r="CC214" s="24"/>
      <c r="CD214" s="24"/>
      <c r="CE214" s="24"/>
      <c r="CF214" s="24"/>
      <c r="CG214" s="24"/>
      <c r="CH214" s="24"/>
      <c r="CI214" s="24"/>
      <c r="CJ214" s="24"/>
      <c r="DE214" s="24"/>
      <c r="DF214" s="24"/>
      <c r="DG214" s="24"/>
      <c r="DH214" s="24"/>
      <c r="DI214" s="24"/>
      <c r="DJ214" s="24"/>
      <c r="DK214" s="24"/>
      <c r="DL214" s="24"/>
      <c r="DM214" s="24"/>
      <c r="DN214" s="24"/>
      <c r="DO214" s="24"/>
      <c r="DP214" s="24"/>
      <c r="DQ214" s="24"/>
      <c r="DR214" s="24"/>
      <c r="DS214" s="24"/>
      <c r="DT214" s="24"/>
      <c r="DU214" s="24"/>
      <c r="DV214" s="24"/>
      <c r="DW214" s="24"/>
      <c r="DX214" s="24"/>
      <c r="DY214" s="24"/>
      <c r="DZ214" s="24"/>
      <c r="EA214" s="24"/>
      <c r="EB214" s="24"/>
      <c r="EC214" s="24"/>
      <c r="ED214" s="24"/>
      <c r="EE214" s="24"/>
      <c r="EF214" s="24"/>
      <c r="EG214" s="24"/>
      <c r="EH214" s="24"/>
      <c r="EI214" s="24"/>
      <c r="EJ214" s="24"/>
      <c r="EK214" s="24"/>
      <c r="EL214" s="24"/>
      <c r="EM214" s="24"/>
      <c r="EN214" s="24"/>
      <c r="EO214" s="24"/>
      <c r="EP214" s="24"/>
      <c r="EQ214" s="24"/>
      <c r="ER214" s="24"/>
      <c r="ES214" s="24"/>
      <c r="ET214" s="24"/>
      <c r="EU214" s="24"/>
      <c r="EV214" s="24"/>
      <c r="EW214" s="24"/>
      <c r="EX214" s="24"/>
      <c r="EY214" s="24"/>
      <c r="EZ214" s="24"/>
      <c r="FA214" s="24"/>
      <c r="FB214" s="24"/>
      <c r="FC214" s="24"/>
      <c r="FD214" s="24"/>
      <c r="FE214" s="24"/>
      <c r="FF214" s="24"/>
      <c r="FG214" s="24"/>
      <c r="FH214" s="24"/>
      <c r="FI214" s="24"/>
      <c r="FJ214" s="24"/>
      <c r="FK214" s="24"/>
      <c r="FL214" s="24"/>
    </row>
    <row r="215" spans="1:168" ht="15.75" customHeight="1">
      <c r="A215" s="176"/>
      <c r="B215" s="177"/>
      <c r="C215" s="177"/>
      <c r="D215" s="177"/>
      <c r="E215" s="177"/>
      <c r="F215" s="177"/>
      <c r="G215" s="178"/>
      <c r="H215" s="179"/>
      <c r="J215" s="185"/>
      <c r="O215" s="182"/>
      <c r="P215" s="182"/>
      <c r="Q215" s="1"/>
      <c r="AC215" s="180"/>
      <c r="AD215" s="180"/>
      <c r="AE215" s="180"/>
      <c r="AJ215" s="191"/>
      <c r="BS215" s="181"/>
      <c r="CC215" s="24"/>
      <c r="CD215" s="24"/>
      <c r="CE215" s="24"/>
      <c r="CF215" s="24"/>
      <c r="CG215" s="24"/>
      <c r="CH215" s="24"/>
      <c r="CI215" s="24"/>
      <c r="CJ215" s="24"/>
      <c r="DE215" s="24"/>
      <c r="DF215" s="24"/>
      <c r="DG215" s="24"/>
      <c r="DH215" s="24"/>
      <c r="DI215" s="24"/>
      <c r="DJ215" s="24"/>
      <c r="DK215" s="24"/>
      <c r="DL215" s="24"/>
      <c r="DM215" s="24"/>
      <c r="DN215" s="24"/>
      <c r="DO215" s="24"/>
      <c r="DP215" s="24"/>
      <c r="DQ215" s="24"/>
      <c r="DR215" s="24"/>
      <c r="DS215" s="24"/>
      <c r="DT215" s="24"/>
      <c r="DU215" s="24"/>
      <c r="DV215" s="24"/>
      <c r="DW215" s="24"/>
      <c r="DX215" s="24"/>
      <c r="DY215" s="24"/>
      <c r="DZ215" s="24"/>
      <c r="EA215" s="24"/>
      <c r="EB215" s="24"/>
      <c r="EC215" s="24"/>
      <c r="ED215" s="24"/>
      <c r="EE215" s="24"/>
      <c r="EF215" s="24"/>
      <c r="EG215" s="24"/>
      <c r="EH215" s="24"/>
      <c r="EI215" s="24"/>
      <c r="EJ215" s="24"/>
      <c r="EK215" s="24"/>
      <c r="EL215" s="24"/>
      <c r="EM215" s="24"/>
      <c r="EN215" s="24"/>
      <c r="EO215" s="24"/>
      <c r="EP215" s="24"/>
      <c r="EQ215" s="24"/>
      <c r="ER215" s="24"/>
      <c r="ES215" s="24"/>
      <c r="ET215" s="24"/>
      <c r="EU215" s="24"/>
      <c r="EV215" s="24"/>
      <c r="EW215" s="24"/>
      <c r="EX215" s="24"/>
      <c r="EY215" s="24"/>
      <c r="EZ215" s="24"/>
      <c r="FA215" s="24"/>
      <c r="FB215" s="24"/>
      <c r="FC215" s="24"/>
      <c r="FD215" s="24"/>
      <c r="FE215" s="24"/>
      <c r="FF215" s="24"/>
      <c r="FG215" s="24"/>
      <c r="FH215" s="24"/>
      <c r="FI215" s="24"/>
      <c r="FJ215" s="24"/>
      <c r="FK215" s="24"/>
      <c r="FL215" s="24"/>
    </row>
    <row r="216" spans="1:168" ht="15.75" customHeight="1">
      <c r="A216" s="176"/>
      <c r="B216" s="177"/>
      <c r="C216" s="177"/>
      <c r="D216" s="177"/>
      <c r="E216" s="177"/>
      <c r="F216" s="177"/>
      <c r="G216" s="178"/>
      <c r="H216" s="179"/>
      <c r="J216" s="185"/>
      <c r="O216" s="182"/>
      <c r="P216" s="182"/>
      <c r="Q216" s="1"/>
      <c r="AC216" s="180"/>
      <c r="AD216" s="180"/>
      <c r="AE216" s="180"/>
      <c r="AJ216" s="191"/>
      <c r="BS216" s="181"/>
      <c r="CC216" s="24"/>
      <c r="CD216" s="24"/>
      <c r="CE216" s="24"/>
      <c r="CF216" s="24"/>
      <c r="CG216" s="24"/>
      <c r="CH216" s="24"/>
      <c r="CI216" s="24"/>
      <c r="CJ216" s="24"/>
      <c r="DE216" s="24"/>
      <c r="DF216" s="24"/>
      <c r="DG216" s="24"/>
      <c r="DH216" s="24"/>
      <c r="DI216" s="24"/>
      <c r="DJ216" s="24"/>
      <c r="DK216" s="24"/>
      <c r="DL216" s="24"/>
      <c r="DM216" s="24"/>
      <c r="DN216" s="24"/>
      <c r="DO216" s="24"/>
      <c r="DP216" s="24"/>
      <c r="DQ216" s="24"/>
      <c r="DR216" s="24"/>
      <c r="DS216" s="24"/>
      <c r="DT216" s="24"/>
      <c r="DU216" s="24"/>
      <c r="DV216" s="24"/>
      <c r="DW216" s="24"/>
      <c r="DX216" s="24"/>
      <c r="DY216" s="24"/>
      <c r="DZ216" s="24"/>
      <c r="EA216" s="24"/>
      <c r="EB216" s="24"/>
      <c r="EC216" s="24"/>
      <c r="ED216" s="24"/>
      <c r="EE216" s="24"/>
      <c r="EF216" s="24"/>
      <c r="EG216" s="24"/>
      <c r="EH216" s="24"/>
      <c r="EI216" s="24"/>
      <c r="EJ216" s="24"/>
      <c r="EK216" s="24"/>
      <c r="EL216" s="24"/>
      <c r="EM216" s="24"/>
      <c r="EN216" s="24"/>
      <c r="EO216" s="24"/>
      <c r="EP216" s="24"/>
      <c r="EQ216" s="24"/>
      <c r="ER216" s="24"/>
      <c r="ES216" s="24"/>
      <c r="ET216" s="24"/>
      <c r="EU216" s="24"/>
      <c r="EV216" s="24"/>
      <c r="EW216" s="24"/>
      <c r="EX216" s="24"/>
      <c r="EY216" s="24"/>
      <c r="EZ216" s="24"/>
      <c r="FA216" s="24"/>
      <c r="FB216" s="24"/>
      <c r="FC216" s="24"/>
      <c r="FD216" s="24"/>
      <c r="FE216" s="24"/>
      <c r="FF216" s="24"/>
      <c r="FG216" s="24"/>
      <c r="FH216" s="24"/>
      <c r="FI216" s="24"/>
      <c r="FJ216" s="24"/>
      <c r="FK216" s="24"/>
      <c r="FL216" s="24"/>
    </row>
    <row r="217" spans="1:168" ht="15.75" customHeight="1">
      <c r="A217" s="176"/>
      <c r="B217" s="177"/>
      <c r="C217" s="177"/>
      <c r="D217" s="177"/>
      <c r="E217" s="177"/>
      <c r="F217" s="177"/>
      <c r="G217" s="178"/>
      <c r="H217" s="179"/>
      <c r="J217" s="185"/>
      <c r="O217" s="182"/>
      <c r="P217" s="182"/>
      <c r="Q217" s="1"/>
      <c r="AC217" s="180"/>
      <c r="AD217" s="180"/>
      <c r="AE217" s="180"/>
      <c r="AJ217" s="191"/>
      <c r="BS217" s="181"/>
      <c r="CC217" s="24"/>
      <c r="CD217" s="24"/>
      <c r="CE217" s="24"/>
      <c r="CF217" s="24"/>
      <c r="CG217" s="24"/>
      <c r="CH217" s="24"/>
      <c r="CI217" s="24"/>
      <c r="CJ217" s="24"/>
      <c r="DE217" s="24"/>
      <c r="DF217" s="24"/>
      <c r="DG217" s="24"/>
      <c r="DH217" s="24"/>
      <c r="DI217" s="24"/>
      <c r="DJ217" s="24"/>
      <c r="DK217" s="24"/>
      <c r="DL217" s="24"/>
      <c r="DM217" s="24"/>
      <c r="DN217" s="24"/>
      <c r="DO217" s="24"/>
      <c r="DP217" s="24"/>
      <c r="DQ217" s="24"/>
      <c r="DR217" s="24"/>
      <c r="DS217" s="24"/>
      <c r="DT217" s="24"/>
      <c r="DU217" s="24"/>
      <c r="DV217" s="24"/>
      <c r="DW217" s="24"/>
      <c r="DX217" s="24"/>
      <c r="DY217" s="24"/>
      <c r="DZ217" s="24"/>
      <c r="EA217" s="24"/>
      <c r="EB217" s="24"/>
      <c r="EC217" s="24"/>
      <c r="ED217" s="24"/>
      <c r="EE217" s="24"/>
      <c r="EF217" s="24"/>
      <c r="EG217" s="24"/>
      <c r="EH217" s="24"/>
      <c r="EI217" s="24"/>
      <c r="EJ217" s="24"/>
      <c r="EK217" s="24"/>
      <c r="EL217" s="24"/>
      <c r="EM217" s="24"/>
      <c r="EN217" s="24"/>
      <c r="EO217" s="24"/>
      <c r="EP217" s="24"/>
      <c r="EQ217" s="24"/>
      <c r="ER217" s="24"/>
      <c r="ES217" s="24"/>
      <c r="ET217" s="24"/>
      <c r="EU217" s="24"/>
      <c r="EV217" s="24"/>
      <c r="EW217" s="24"/>
      <c r="EX217" s="24"/>
      <c r="EY217" s="24"/>
      <c r="EZ217" s="24"/>
      <c r="FA217" s="24"/>
      <c r="FB217" s="24"/>
      <c r="FC217" s="24"/>
      <c r="FD217" s="24"/>
      <c r="FE217" s="24"/>
      <c r="FF217" s="24"/>
      <c r="FG217" s="24"/>
      <c r="FH217" s="24"/>
      <c r="FI217" s="24"/>
      <c r="FJ217" s="24"/>
      <c r="FK217" s="24"/>
      <c r="FL217" s="24"/>
    </row>
    <row r="218" spans="1:168" ht="15.75" customHeight="1">
      <c r="A218" s="176"/>
      <c r="B218" s="177"/>
      <c r="C218" s="177"/>
      <c r="D218" s="177"/>
      <c r="E218" s="177"/>
      <c r="F218" s="177"/>
      <c r="G218" s="178"/>
      <c r="H218" s="179"/>
      <c r="J218" s="185"/>
      <c r="O218" s="182"/>
      <c r="P218" s="182"/>
      <c r="Q218" s="1"/>
      <c r="AC218" s="180"/>
      <c r="AD218" s="180"/>
      <c r="AE218" s="180"/>
      <c r="AJ218" s="191"/>
      <c r="BS218" s="181"/>
      <c r="CC218" s="24"/>
      <c r="CD218" s="24"/>
      <c r="CE218" s="24"/>
      <c r="CF218" s="24"/>
      <c r="CG218" s="24"/>
      <c r="CH218" s="24"/>
      <c r="CI218" s="24"/>
      <c r="CJ218" s="24"/>
      <c r="DE218" s="24"/>
      <c r="DF218" s="24"/>
      <c r="DG218" s="24"/>
      <c r="DH218" s="24"/>
      <c r="DI218" s="24"/>
      <c r="DJ218" s="24"/>
      <c r="DK218" s="24"/>
      <c r="DL218" s="24"/>
      <c r="DM218" s="24"/>
      <c r="DN218" s="24"/>
      <c r="DO218" s="24"/>
      <c r="DP218" s="24"/>
      <c r="DQ218" s="24"/>
      <c r="DR218" s="24"/>
      <c r="DS218" s="24"/>
      <c r="DT218" s="24"/>
      <c r="DU218" s="24"/>
      <c r="DV218" s="24"/>
      <c r="DW218" s="24"/>
      <c r="DX218" s="24"/>
      <c r="DY218" s="24"/>
      <c r="DZ218" s="24"/>
      <c r="EA218" s="24"/>
      <c r="EB218" s="24"/>
      <c r="EC218" s="24"/>
      <c r="ED218" s="24"/>
      <c r="EE218" s="24"/>
      <c r="EF218" s="24"/>
      <c r="EG218" s="24"/>
      <c r="EH218" s="24"/>
      <c r="EI218" s="24"/>
      <c r="EJ218" s="24"/>
      <c r="EK218" s="24"/>
      <c r="EL218" s="24"/>
      <c r="EM218" s="24"/>
      <c r="EN218" s="24"/>
      <c r="EO218" s="24"/>
      <c r="EP218" s="24"/>
      <c r="EQ218" s="24"/>
      <c r="ER218" s="24"/>
      <c r="ES218" s="24"/>
      <c r="ET218" s="24"/>
      <c r="EU218" s="24"/>
      <c r="EV218" s="24"/>
      <c r="EW218" s="24"/>
      <c r="EX218" s="24"/>
      <c r="EY218" s="24"/>
      <c r="EZ218" s="24"/>
      <c r="FA218" s="24"/>
      <c r="FB218" s="24"/>
      <c r="FC218" s="24"/>
      <c r="FD218" s="24"/>
      <c r="FE218" s="24"/>
      <c r="FF218" s="24"/>
      <c r="FG218" s="24"/>
      <c r="FH218" s="24"/>
      <c r="FI218" s="24"/>
      <c r="FJ218" s="24"/>
      <c r="FK218" s="24"/>
      <c r="FL218" s="24"/>
    </row>
    <row r="219" spans="1:168" ht="15.75" customHeight="1">
      <c r="A219" s="176"/>
      <c r="B219" s="177"/>
      <c r="C219" s="177"/>
      <c r="D219" s="177"/>
      <c r="E219" s="177"/>
      <c r="F219" s="177"/>
      <c r="G219" s="178"/>
      <c r="H219" s="179"/>
      <c r="J219" s="185"/>
      <c r="O219" s="182"/>
      <c r="P219" s="182"/>
      <c r="Q219" s="1"/>
      <c r="AC219" s="180"/>
      <c r="AD219" s="180"/>
      <c r="AE219" s="180"/>
      <c r="AJ219" s="191"/>
      <c r="BS219" s="181"/>
      <c r="CC219" s="24"/>
      <c r="CD219" s="24"/>
      <c r="CE219" s="24"/>
      <c r="CF219" s="24"/>
      <c r="CG219" s="24"/>
      <c r="CH219" s="24"/>
      <c r="CI219" s="24"/>
      <c r="CJ219" s="24"/>
      <c r="DE219" s="24"/>
      <c r="DF219" s="24"/>
      <c r="DG219" s="24"/>
      <c r="DH219" s="24"/>
      <c r="DI219" s="24"/>
      <c r="DJ219" s="24"/>
      <c r="DK219" s="24"/>
      <c r="DL219" s="24"/>
      <c r="DM219" s="24"/>
      <c r="DN219" s="24"/>
      <c r="DO219" s="24"/>
      <c r="DP219" s="24"/>
      <c r="DQ219" s="24"/>
      <c r="DR219" s="24"/>
      <c r="DS219" s="24"/>
      <c r="DT219" s="24"/>
      <c r="DU219" s="24"/>
      <c r="DV219" s="24"/>
      <c r="DW219" s="24"/>
      <c r="DX219" s="24"/>
      <c r="DY219" s="24"/>
      <c r="DZ219" s="24"/>
      <c r="EA219" s="24"/>
      <c r="EB219" s="24"/>
      <c r="EC219" s="24"/>
      <c r="ED219" s="24"/>
      <c r="EE219" s="24"/>
      <c r="EF219" s="24"/>
      <c r="EG219" s="24"/>
      <c r="EH219" s="24"/>
      <c r="EI219" s="24"/>
      <c r="EJ219" s="24"/>
      <c r="EK219" s="24"/>
      <c r="EL219" s="24"/>
      <c r="EM219" s="24"/>
      <c r="EN219" s="24"/>
      <c r="EO219" s="24"/>
      <c r="EP219" s="24"/>
      <c r="EQ219" s="24"/>
      <c r="ER219" s="24"/>
      <c r="ES219" s="24"/>
      <c r="ET219" s="24"/>
      <c r="EU219" s="24"/>
      <c r="EV219" s="24"/>
      <c r="EW219" s="24"/>
      <c r="EX219" s="24"/>
      <c r="EY219" s="24"/>
      <c r="EZ219" s="24"/>
      <c r="FA219" s="24"/>
      <c r="FB219" s="24"/>
      <c r="FC219" s="24"/>
      <c r="FD219" s="24"/>
      <c r="FE219" s="24"/>
      <c r="FF219" s="24"/>
      <c r="FG219" s="24"/>
      <c r="FH219" s="24"/>
      <c r="FI219" s="24"/>
      <c r="FJ219" s="24"/>
      <c r="FK219" s="24"/>
      <c r="FL219" s="24"/>
    </row>
    <row r="220" spans="1:168" ht="15.75" customHeight="1">
      <c r="A220" s="176"/>
      <c r="B220" s="177"/>
      <c r="C220" s="177"/>
      <c r="D220" s="177"/>
      <c r="E220" s="177"/>
      <c r="F220" s="177"/>
      <c r="G220" s="178"/>
      <c r="H220" s="179"/>
      <c r="J220" s="185"/>
      <c r="O220" s="182"/>
      <c r="P220" s="182"/>
      <c r="Q220" s="1"/>
      <c r="AC220" s="180"/>
      <c r="AD220" s="180"/>
      <c r="AE220" s="180"/>
      <c r="AJ220" s="191"/>
      <c r="BS220" s="181"/>
      <c r="CC220" s="24"/>
      <c r="CD220" s="24"/>
      <c r="CE220" s="24"/>
      <c r="CF220" s="24"/>
      <c r="CG220" s="24"/>
      <c r="CH220" s="24"/>
      <c r="CI220" s="24"/>
      <c r="CJ220" s="24"/>
      <c r="DE220" s="24"/>
      <c r="DF220" s="24"/>
      <c r="DG220" s="24"/>
      <c r="DH220" s="24"/>
      <c r="DI220" s="24"/>
      <c r="DJ220" s="24"/>
      <c r="DK220" s="24"/>
      <c r="DL220" s="24"/>
      <c r="DM220" s="24"/>
      <c r="DN220" s="24"/>
      <c r="DO220" s="24"/>
      <c r="DP220" s="24"/>
      <c r="DQ220" s="24"/>
      <c r="DR220" s="24"/>
      <c r="DS220" s="24"/>
      <c r="DT220" s="24"/>
      <c r="DU220" s="24"/>
      <c r="DV220" s="24"/>
      <c r="DW220" s="24"/>
      <c r="DX220" s="24"/>
      <c r="DY220" s="24"/>
      <c r="DZ220" s="24"/>
      <c r="EA220" s="24"/>
      <c r="EB220" s="24"/>
      <c r="EC220" s="24"/>
      <c r="ED220" s="24"/>
      <c r="EE220" s="24"/>
      <c r="EF220" s="24"/>
      <c r="EG220" s="24"/>
      <c r="EH220" s="24"/>
      <c r="EI220" s="24"/>
      <c r="EJ220" s="24"/>
      <c r="EK220" s="24"/>
      <c r="EL220" s="24"/>
      <c r="EM220" s="24"/>
      <c r="EN220" s="24"/>
      <c r="EO220" s="24"/>
      <c r="EP220" s="24"/>
      <c r="EQ220" s="24"/>
      <c r="ER220" s="24"/>
      <c r="ES220" s="24"/>
      <c r="ET220" s="24"/>
      <c r="EU220" s="24"/>
      <c r="EV220" s="24"/>
      <c r="EW220" s="24"/>
      <c r="EX220" s="24"/>
      <c r="EY220" s="24"/>
      <c r="EZ220" s="24"/>
      <c r="FA220" s="24"/>
      <c r="FB220" s="24"/>
      <c r="FC220" s="24"/>
      <c r="FD220" s="24"/>
      <c r="FE220" s="24"/>
      <c r="FF220" s="24"/>
      <c r="FG220" s="24"/>
      <c r="FH220" s="24"/>
      <c r="FI220" s="24"/>
      <c r="FJ220" s="24"/>
      <c r="FK220" s="24"/>
      <c r="FL220" s="24"/>
    </row>
    <row r="221" spans="1:168" ht="15.75" customHeight="1">
      <c r="A221" s="176"/>
      <c r="B221" s="177"/>
      <c r="C221" s="177"/>
      <c r="D221" s="177"/>
      <c r="E221" s="177"/>
      <c r="F221" s="177"/>
      <c r="G221" s="178"/>
      <c r="H221" s="179"/>
      <c r="J221" s="185"/>
      <c r="O221" s="182"/>
      <c r="P221" s="182"/>
      <c r="Q221" s="1"/>
      <c r="AC221" s="180"/>
      <c r="AD221" s="180"/>
      <c r="AE221" s="180"/>
      <c r="AJ221" s="191"/>
      <c r="BS221" s="181"/>
      <c r="CC221" s="24"/>
      <c r="CD221" s="24"/>
      <c r="CE221" s="24"/>
      <c r="CF221" s="24"/>
      <c r="CG221" s="24"/>
      <c r="CH221" s="24"/>
      <c r="CI221" s="24"/>
      <c r="CJ221" s="24"/>
      <c r="DE221" s="24"/>
      <c r="DF221" s="24"/>
      <c r="DG221" s="24"/>
      <c r="DH221" s="24"/>
      <c r="DI221" s="24"/>
      <c r="DJ221" s="24"/>
      <c r="DK221" s="24"/>
      <c r="DL221" s="24"/>
      <c r="DM221" s="24"/>
      <c r="DN221" s="24"/>
      <c r="DO221" s="24"/>
      <c r="DP221" s="24"/>
      <c r="DQ221" s="24"/>
      <c r="DR221" s="24"/>
      <c r="DS221" s="24"/>
      <c r="DT221" s="24"/>
      <c r="DU221" s="24"/>
      <c r="DV221" s="24"/>
      <c r="DW221" s="24"/>
      <c r="DX221" s="24"/>
      <c r="DY221" s="24"/>
      <c r="DZ221" s="24"/>
      <c r="EA221" s="24"/>
      <c r="EB221" s="24"/>
      <c r="EC221" s="24"/>
      <c r="ED221" s="24"/>
      <c r="EE221" s="24"/>
      <c r="EF221" s="24"/>
      <c r="EG221" s="24"/>
      <c r="EH221" s="24"/>
      <c r="EI221" s="24"/>
      <c r="EJ221" s="24"/>
      <c r="EK221" s="24"/>
      <c r="EL221" s="24"/>
      <c r="EM221" s="24"/>
      <c r="EN221" s="24"/>
      <c r="EO221" s="24"/>
      <c r="EP221" s="24"/>
      <c r="EQ221" s="24"/>
      <c r="ER221" s="24"/>
      <c r="ES221" s="24"/>
      <c r="ET221" s="24"/>
      <c r="EU221" s="24"/>
      <c r="EV221" s="24"/>
      <c r="EW221" s="24"/>
      <c r="EX221" s="24"/>
      <c r="EY221" s="24"/>
      <c r="EZ221" s="24"/>
      <c r="FA221" s="24"/>
      <c r="FB221" s="24"/>
      <c r="FC221" s="24"/>
      <c r="FD221" s="24"/>
      <c r="FE221" s="24"/>
      <c r="FF221" s="24"/>
      <c r="FG221" s="24"/>
      <c r="FH221" s="24"/>
      <c r="FI221" s="24"/>
      <c r="FJ221" s="24"/>
      <c r="FK221" s="24"/>
      <c r="FL221" s="24"/>
    </row>
    <row r="222" spans="1:168" ht="15.75" customHeight="1">
      <c r="A222" s="176"/>
      <c r="B222" s="177"/>
      <c r="C222" s="177"/>
      <c r="D222" s="177"/>
      <c r="E222" s="177"/>
      <c r="F222" s="177"/>
      <c r="G222" s="178"/>
      <c r="H222" s="179"/>
      <c r="J222" s="185"/>
      <c r="O222" s="182"/>
      <c r="P222" s="182"/>
      <c r="Q222" s="1"/>
      <c r="AC222" s="180"/>
      <c r="AD222" s="180"/>
      <c r="AE222" s="180"/>
      <c r="AJ222" s="191"/>
      <c r="BS222" s="181"/>
      <c r="CC222" s="24"/>
      <c r="CD222" s="24"/>
      <c r="CE222" s="24"/>
      <c r="CF222" s="24"/>
      <c r="CG222" s="24"/>
      <c r="CH222" s="24"/>
      <c r="CI222" s="24"/>
      <c r="CJ222" s="24"/>
      <c r="DE222" s="24"/>
      <c r="DF222" s="24"/>
      <c r="DG222" s="24"/>
      <c r="DH222" s="24"/>
      <c r="DI222" s="24"/>
      <c r="DJ222" s="24"/>
      <c r="DK222" s="24"/>
      <c r="DL222" s="24"/>
      <c r="DM222" s="24"/>
      <c r="DN222" s="24"/>
      <c r="DO222" s="24"/>
      <c r="DP222" s="24"/>
      <c r="DQ222" s="24"/>
      <c r="DR222" s="24"/>
      <c r="DS222" s="24"/>
      <c r="DT222" s="24"/>
      <c r="DU222" s="24"/>
      <c r="DV222" s="24"/>
      <c r="DW222" s="24"/>
      <c r="DX222" s="24"/>
      <c r="DY222" s="24"/>
      <c r="DZ222" s="24"/>
      <c r="EA222" s="24"/>
      <c r="EB222" s="24"/>
      <c r="EC222" s="24"/>
      <c r="ED222" s="24"/>
      <c r="EE222" s="24"/>
      <c r="EF222" s="24"/>
      <c r="EG222" s="24"/>
      <c r="EH222" s="24"/>
      <c r="EI222" s="24"/>
      <c r="EJ222" s="24"/>
      <c r="EK222" s="24"/>
      <c r="EL222" s="24"/>
      <c r="EM222" s="24"/>
      <c r="EN222" s="24"/>
      <c r="EO222" s="24"/>
      <c r="EP222" s="24"/>
      <c r="EQ222" s="24"/>
      <c r="ER222" s="24"/>
      <c r="ES222" s="24"/>
      <c r="ET222" s="24"/>
      <c r="EU222" s="24"/>
      <c r="EV222" s="24"/>
      <c r="EW222" s="24"/>
      <c r="EX222" s="24"/>
      <c r="EY222" s="24"/>
      <c r="EZ222" s="24"/>
      <c r="FA222" s="24"/>
      <c r="FB222" s="24"/>
      <c r="FC222" s="24"/>
      <c r="FD222" s="24"/>
      <c r="FE222" s="24"/>
      <c r="FF222" s="24"/>
      <c r="FG222" s="24"/>
      <c r="FH222" s="24"/>
      <c r="FI222" s="24"/>
      <c r="FJ222" s="24"/>
      <c r="FK222" s="24"/>
      <c r="FL222" s="24"/>
    </row>
    <row r="223" spans="1:168" ht="15.75" customHeight="1">
      <c r="A223" s="176"/>
      <c r="B223" s="177"/>
      <c r="C223" s="177"/>
      <c r="D223" s="177"/>
      <c r="E223" s="177"/>
      <c r="F223" s="177"/>
      <c r="G223" s="178"/>
      <c r="H223" s="179"/>
      <c r="J223" s="185"/>
      <c r="O223" s="182"/>
      <c r="P223" s="182"/>
      <c r="Q223" s="1"/>
      <c r="AC223" s="180"/>
      <c r="AD223" s="180"/>
      <c r="AE223" s="180"/>
      <c r="AJ223" s="191"/>
      <c r="BS223" s="181"/>
      <c r="CC223" s="24"/>
      <c r="CD223" s="24"/>
      <c r="CE223" s="24"/>
      <c r="CF223" s="24"/>
      <c r="CG223" s="24"/>
      <c r="CH223" s="24"/>
      <c r="CI223" s="24"/>
      <c r="CJ223" s="24"/>
      <c r="DE223" s="24"/>
      <c r="DF223" s="24"/>
      <c r="DG223" s="24"/>
      <c r="DH223" s="24"/>
      <c r="DI223" s="24"/>
      <c r="DJ223" s="24"/>
      <c r="DK223" s="24"/>
      <c r="DL223" s="24"/>
      <c r="DM223" s="24"/>
      <c r="DN223" s="24"/>
      <c r="DO223" s="24"/>
      <c r="DP223" s="24"/>
      <c r="DQ223" s="24"/>
      <c r="DR223" s="24"/>
      <c r="DS223" s="24"/>
      <c r="DT223" s="24"/>
      <c r="DU223" s="24"/>
      <c r="DV223" s="24"/>
      <c r="DW223" s="24"/>
      <c r="DX223" s="24"/>
      <c r="DY223" s="24"/>
      <c r="DZ223" s="24"/>
      <c r="EA223" s="24"/>
      <c r="EB223" s="24"/>
      <c r="EC223" s="24"/>
      <c r="ED223" s="24"/>
      <c r="EE223" s="24"/>
      <c r="EF223" s="24"/>
      <c r="EG223" s="24"/>
      <c r="EH223" s="24"/>
      <c r="EI223" s="24"/>
      <c r="EJ223" s="24"/>
      <c r="EK223" s="24"/>
      <c r="EL223" s="24"/>
      <c r="EM223" s="24"/>
      <c r="EN223" s="24"/>
      <c r="EO223" s="24"/>
      <c r="EP223" s="24"/>
      <c r="EQ223" s="24"/>
      <c r="ER223" s="24"/>
      <c r="ES223" s="24"/>
      <c r="ET223" s="24"/>
      <c r="EU223" s="24"/>
      <c r="EV223" s="24"/>
      <c r="EW223" s="24"/>
      <c r="EX223" s="24"/>
      <c r="EY223" s="24"/>
      <c r="EZ223" s="24"/>
      <c r="FA223" s="24"/>
      <c r="FB223" s="24"/>
      <c r="FC223" s="24"/>
      <c r="FD223" s="24"/>
      <c r="FE223" s="24"/>
      <c r="FF223" s="24"/>
      <c r="FG223" s="24"/>
      <c r="FH223" s="24"/>
      <c r="FI223" s="24"/>
      <c r="FJ223" s="24"/>
      <c r="FK223" s="24"/>
      <c r="FL223" s="24"/>
    </row>
    <row r="224" spans="1:168" ht="15.75" customHeight="1">
      <c r="A224" s="176"/>
      <c r="B224" s="177"/>
      <c r="C224" s="177"/>
      <c r="D224" s="177"/>
      <c r="E224" s="177"/>
      <c r="F224" s="177"/>
      <c r="G224" s="178"/>
      <c r="H224" s="179"/>
      <c r="J224" s="185"/>
      <c r="O224" s="182"/>
      <c r="P224" s="182"/>
      <c r="Q224" s="1"/>
      <c r="AC224" s="180"/>
      <c r="AD224" s="180"/>
      <c r="AE224" s="180"/>
      <c r="AJ224" s="191"/>
      <c r="BS224" s="181"/>
      <c r="CC224" s="24"/>
      <c r="CD224" s="24"/>
      <c r="CE224" s="24"/>
      <c r="CF224" s="24"/>
      <c r="CG224" s="24"/>
      <c r="CH224" s="24"/>
      <c r="CI224" s="24"/>
      <c r="CJ224" s="24"/>
      <c r="DE224" s="24"/>
      <c r="DF224" s="24"/>
      <c r="DG224" s="24"/>
      <c r="DH224" s="24"/>
      <c r="DI224" s="24"/>
      <c r="DJ224" s="24"/>
      <c r="DK224" s="24"/>
      <c r="DL224" s="24"/>
      <c r="DM224" s="24"/>
      <c r="DN224" s="24"/>
      <c r="DO224" s="24"/>
      <c r="DP224" s="24"/>
      <c r="DQ224" s="24"/>
      <c r="DR224" s="24"/>
      <c r="DS224" s="24"/>
      <c r="DT224" s="24"/>
      <c r="DU224" s="24"/>
      <c r="DV224" s="24"/>
      <c r="DW224" s="24"/>
      <c r="DX224" s="24"/>
      <c r="DY224" s="24"/>
      <c r="DZ224" s="24"/>
      <c r="EA224" s="24"/>
      <c r="EB224" s="24"/>
      <c r="EC224" s="24"/>
      <c r="ED224" s="24"/>
      <c r="EE224" s="24"/>
      <c r="EF224" s="24"/>
      <c r="EG224" s="24"/>
      <c r="EH224" s="24"/>
      <c r="EI224" s="24"/>
      <c r="EJ224" s="24"/>
      <c r="EK224" s="24"/>
      <c r="EL224" s="24"/>
      <c r="EM224" s="24"/>
      <c r="EN224" s="24"/>
      <c r="EO224" s="24"/>
      <c r="EP224" s="24"/>
      <c r="EQ224" s="24"/>
      <c r="ER224" s="24"/>
      <c r="ES224" s="24"/>
      <c r="ET224" s="24"/>
      <c r="EU224" s="24"/>
      <c r="EV224" s="24"/>
      <c r="EW224" s="24"/>
      <c r="EX224" s="24"/>
      <c r="EY224" s="24"/>
      <c r="EZ224" s="24"/>
      <c r="FA224" s="24"/>
      <c r="FB224" s="24"/>
      <c r="FC224" s="24"/>
      <c r="FD224" s="24"/>
      <c r="FE224" s="24"/>
      <c r="FF224" s="24"/>
      <c r="FG224" s="24"/>
      <c r="FH224" s="24"/>
      <c r="FI224" s="24"/>
      <c r="FJ224" s="24"/>
      <c r="FK224" s="24"/>
      <c r="FL224" s="24"/>
    </row>
    <row r="225" spans="1:168" ht="15.75" customHeight="1">
      <c r="A225" s="176"/>
      <c r="B225" s="177"/>
      <c r="C225" s="177"/>
      <c r="D225" s="177"/>
      <c r="E225" s="177"/>
      <c r="F225" s="177"/>
      <c r="G225" s="178"/>
      <c r="H225" s="179"/>
      <c r="J225" s="185"/>
      <c r="O225" s="182"/>
      <c r="P225" s="182"/>
      <c r="Q225" s="1"/>
      <c r="AC225" s="180"/>
      <c r="AD225" s="180"/>
      <c r="AE225" s="180"/>
      <c r="AJ225" s="191"/>
      <c r="BS225" s="181"/>
      <c r="CC225" s="24"/>
      <c r="CD225" s="24"/>
      <c r="CE225" s="24"/>
      <c r="CF225" s="24"/>
      <c r="CG225" s="24"/>
      <c r="CH225" s="24"/>
      <c r="CI225" s="24"/>
      <c r="CJ225" s="24"/>
      <c r="DE225" s="24"/>
      <c r="DF225" s="24"/>
      <c r="DG225" s="24"/>
      <c r="DH225" s="24"/>
      <c r="DI225" s="24"/>
      <c r="DJ225" s="24"/>
      <c r="DK225" s="24"/>
      <c r="DL225" s="24"/>
      <c r="DM225" s="24"/>
      <c r="DN225" s="24"/>
      <c r="DO225" s="24"/>
      <c r="DP225" s="24"/>
      <c r="DQ225" s="24"/>
      <c r="DR225" s="24"/>
      <c r="DS225" s="24"/>
      <c r="DT225" s="24"/>
      <c r="DU225" s="24"/>
      <c r="DV225" s="24"/>
      <c r="DW225" s="24"/>
      <c r="DX225" s="24"/>
      <c r="DY225" s="24"/>
      <c r="DZ225" s="24"/>
      <c r="EA225" s="24"/>
      <c r="EB225" s="24"/>
      <c r="EC225" s="24"/>
      <c r="ED225" s="24"/>
      <c r="EE225" s="24"/>
      <c r="EF225" s="24"/>
      <c r="EG225" s="24"/>
      <c r="EH225" s="24"/>
      <c r="EI225" s="24"/>
      <c r="EJ225" s="24"/>
      <c r="EK225" s="24"/>
      <c r="EL225" s="24"/>
      <c r="EM225" s="24"/>
      <c r="EN225" s="24"/>
      <c r="EO225" s="24"/>
      <c r="EP225" s="24"/>
      <c r="EQ225" s="24"/>
      <c r="ER225" s="24"/>
      <c r="ES225" s="24"/>
      <c r="ET225" s="24"/>
      <c r="EU225" s="24"/>
      <c r="EV225" s="24"/>
      <c r="EW225" s="24"/>
      <c r="EX225" s="24"/>
      <c r="EY225" s="24"/>
      <c r="EZ225" s="24"/>
      <c r="FA225" s="24"/>
      <c r="FB225" s="24"/>
      <c r="FC225" s="24"/>
      <c r="FD225" s="24"/>
      <c r="FE225" s="24"/>
      <c r="FF225" s="24"/>
      <c r="FG225" s="24"/>
      <c r="FH225" s="24"/>
      <c r="FI225" s="24"/>
      <c r="FJ225" s="24"/>
      <c r="FK225" s="24"/>
      <c r="FL225" s="24"/>
    </row>
    <row r="226" spans="1:168" ht="15.75" customHeight="1">
      <c r="A226" s="176"/>
      <c r="B226" s="177"/>
      <c r="C226" s="177"/>
      <c r="D226" s="177"/>
      <c r="E226" s="177"/>
      <c r="F226" s="177"/>
      <c r="G226" s="178"/>
      <c r="H226" s="179"/>
      <c r="J226" s="185"/>
      <c r="O226" s="182"/>
      <c r="P226" s="182"/>
      <c r="Q226" s="1"/>
      <c r="AC226" s="180"/>
      <c r="AD226" s="180"/>
      <c r="AE226" s="180"/>
      <c r="AJ226" s="191"/>
      <c r="BS226" s="181"/>
      <c r="CC226" s="24"/>
      <c r="CD226" s="24"/>
      <c r="CE226" s="24"/>
      <c r="CF226" s="24"/>
      <c r="CG226" s="24"/>
      <c r="CH226" s="24"/>
      <c r="CI226" s="24"/>
      <c r="CJ226" s="24"/>
      <c r="DE226" s="24"/>
      <c r="DF226" s="24"/>
      <c r="DG226" s="24"/>
      <c r="DH226" s="24"/>
      <c r="DI226" s="24"/>
      <c r="DJ226" s="24"/>
      <c r="DK226" s="24"/>
      <c r="DL226" s="24"/>
      <c r="DM226" s="24"/>
      <c r="DN226" s="24"/>
      <c r="DO226" s="24"/>
      <c r="DP226" s="24"/>
      <c r="DQ226" s="24"/>
      <c r="DR226" s="24"/>
      <c r="DS226" s="24"/>
      <c r="DT226" s="24"/>
      <c r="DU226" s="24"/>
      <c r="DV226" s="24"/>
      <c r="DW226" s="24"/>
      <c r="DX226" s="24"/>
      <c r="DY226" s="24"/>
      <c r="DZ226" s="24"/>
      <c r="EA226" s="24"/>
      <c r="EB226" s="24"/>
      <c r="EC226" s="24"/>
      <c r="ED226" s="24"/>
      <c r="EE226" s="24"/>
      <c r="EF226" s="24"/>
      <c r="EG226" s="24"/>
      <c r="EH226" s="24"/>
      <c r="EI226" s="24"/>
      <c r="EJ226" s="24"/>
      <c r="EK226" s="24"/>
      <c r="EL226" s="24"/>
      <c r="EM226" s="24"/>
      <c r="EN226" s="24"/>
      <c r="EO226" s="24"/>
      <c r="EP226" s="24"/>
      <c r="EQ226" s="24"/>
      <c r="ER226" s="24"/>
      <c r="ES226" s="24"/>
      <c r="ET226" s="24"/>
      <c r="EU226" s="24"/>
      <c r="EV226" s="24"/>
      <c r="EW226" s="24"/>
      <c r="EX226" s="24"/>
      <c r="EY226" s="24"/>
      <c r="EZ226" s="24"/>
      <c r="FA226" s="24"/>
      <c r="FB226" s="24"/>
      <c r="FC226" s="24"/>
      <c r="FD226" s="24"/>
      <c r="FE226" s="24"/>
      <c r="FF226" s="24"/>
      <c r="FG226" s="24"/>
      <c r="FH226" s="24"/>
      <c r="FI226" s="24"/>
      <c r="FJ226" s="24"/>
      <c r="FK226" s="24"/>
      <c r="FL226" s="24"/>
    </row>
    <row r="227" spans="1:168" ht="15.75" customHeight="1">
      <c r="A227" s="176"/>
      <c r="B227" s="177"/>
      <c r="C227" s="177"/>
      <c r="D227" s="177"/>
      <c r="E227" s="177"/>
      <c r="F227" s="177"/>
      <c r="G227" s="178"/>
      <c r="H227" s="179"/>
      <c r="J227" s="185"/>
      <c r="O227" s="182"/>
      <c r="P227" s="182"/>
      <c r="Q227" s="1"/>
      <c r="AC227" s="180"/>
      <c r="AD227" s="180"/>
      <c r="AE227" s="180"/>
      <c r="AJ227" s="191"/>
      <c r="BS227" s="181"/>
      <c r="CC227" s="24"/>
      <c r="CD227" s="24"/>
      <c r="CE227" s="24"/>
      <c r="CF227" s="24"/>
      <c r="CG227" s="24"/>
      <c r="CH227" s="24"/>
      <c r="CI227" s="24"/>
      <c r="CJ227" s="24"/>
      <c r="DE227" s="24"/>
      <c r="DF227" s="24"/>
      <c r="DG227" s="24"/>
      <c r="DH227" s="24"/>
      <c r="DI227" s="24"/>
      <c r="DJ227" s="24"/>
      <c r="DK227" s="24"/>
      <c r="DL227" s="24"/>
      <c r="DM227" s="24"/>
      <c r="DN227" s="24"/>
      <c r="DO227" s="24"/>
      <c r="DP227" s="24"/>
      <c r="DQ227" s="24"/>
      <c r="DR227" s="24"/>
      <c r="DS227" s="24"/>
      <c r="DT227" s="24"/>
      <c r="DU227" s="24"/>
      <c r="DV227" s="24"/>
      <c r="DW227" s="24"/>
      <c r="DX227" s="24"/>
      <c r="DY227" s="24"/>
      <c r="DZ227" s="24"/>
      <c r="EA227" s="24"/>
      <c r="EB227" s="24"/>
      <c r="EC227" s="24"/>
      <c r="ED227" s="24"/>
      <c r="EE227" s="24"/>
      <c r="EF227" s="24"/>
      <c r="EG227" s="24"/>
      <c r="EH227" s="24"/>
      <c r="EI227" s="24"/>
      <c r="EJ227" s="24"/>
      <c r="EK227" s="24"/>
      <c r="EL227" s="24"/>
      <c r="EM227" s="24"/>
      <c r="EN227" s="24"/>
      <c r="EO227" s="24"/>
      <c r="EP227" s="24"/>
      <c r="EQ227" s="24"/>
      <c r="ER227" s="24"/>
      <c r="ES227" s="24"/>
      <c r="ET227" s="24"/>
      <c r="EU227" s="24"/>
      <c r="EV227" s="24"/>
      <c r="EW227" s="24"/>
      <c r="EX227" s="24"/>
      <c r="EY227" s="24"/>
      <c r="EZ227" s="24"/>
      <c r="FA227" s="24"/>
      <c r="FB227" s="24"/>
      <c r="FC227" s="24"/>
      <c r="FD227" s="24"/>
      <c r="FE227" s="24"/>
      <c r="FF227" s="24"/>
      <c r="FG227" s="24"/>
      <c r="FH227" s="24"/>
      <c r="FI227" s="24"/>
      <c r="FJ227" s="24"/>
      <c r="FK227" s="24"/>
      <c r="FL227" s="24"/>
    </row>
    <row r="228" spans="1:168" ht="15.75" customHeight="1">
      <c r="A228" s="176"/>
      <c r="B228" s="177"/>
      <c r="C228" s="177"/>
      <c r="D228" s="177"/>
      <c r="E228" s="177"/>
      <c r="F228" s="177"/>
      <c r="G228" s="178"/>
      <c r="H228" s="179"/>
      <c r="J228" s="185"/>
      <c r="O228" s="182"/>
      <c r="P228" s="182"/>
      <c r="Q228" s="1"/>
      <c r="AC228" s="180"/>
      <c r="AD228" s="180"/>
      <c r="AE228" s="180"/>
      <c r="AJ228" s="191"/>
      <c r="BS228" s="181"/>
      <c r="CC228" s="24"/>
      <c r="CD228" s="24"/>
      <c r="CE228" s="24"/>
      <c r="CF228" s="24"/>
      <c r="CG228" s="24"/>
      <c r="CH228" s="24"/>
      <c r="CI228" s="24"/>
      <c r="CJ228" s="24"/>
      <c r="DE228" s="24"/>
      <c r="DF228" s="24"/>
      <c r="DG228" s="24"/>
      <c r="DH228" s="24"/>
      <c r="DI228" s="24"/>
      <c r="DJ228" s="24"/>
      <c r="DK228" s="24"/>
      <c r="DL228" s="24"/>
      <c r="DM228" s="24"/>
      <c r="DN228" s="24"/>
      <c r="DO228" s="24"/>
      <c r="DP228" s="24"/>
      <c r="DQ228" s="24"/>
      <c r="DR228" s="24"/>
      <c r="DS228" s="24"/>
      <c r="DT228" s="24"/>
      <c r="DU228" s="24"/>
      <c r="DV228" s="24"/>
      <c r="DW228" s="24"/>
      <c r="DX228" s="24"/>
      <c r="DY228" s="24"/>
      <c r="DZ228" s="24"/>
      <c r="EA228" s="24"/>
      <c r="EB228" s="24"/>
      <c r="EC228" s="24"/>
      <c r="ED228" s="24"/>
      <c r="EE228" s="24"/>
      <c r="EF228" s="24"/>
      <c r="EG228" s="24"/>
      <c r="EH228" s="24"/>
      <c r="EI228" s="24"/>
      <c r="EJ228" s="24"/>
      <c r="EK228" s="24"/>
      <c r="EL228" s="24"/>
      <c r="EM228" s="24"/>
      <c r="EN228" s="24"/>
      <c r="EO228" s="24"/>
      <c r="EP228" s="24"/>
      <c r="EQ228" s="24"/>
      <c r="ER228" s="24"/>
      <c r="ES228" s="24"/>
      <c r="ET228" s="24"/>
      <c r="EU228" s="24"/>
      <c r="EV228" s="24"/>
      <c r="EW228" s="24"/>
      <c r="EX228" s="24"/>
      <c r="EY228" s="24"/>
      <c r="EZ228" s="24"/>
      <c r="FA228" s="24"/>
      <c r="FB228" s="24"/>
      <c r="FC228" s="24"/>
      <c r="FD228" s="24"/>
      <c r="FE228" s="24"/>
      <c r="FF228" s="24"/>
      <c r="FG228" s="24"/>
      <c r="FH228" s="24"/>
      <c r="FI228" s="24"/>
      <c r="FJ228" s="24"/>
      <c r="FK228" s="24"/>
      <c r="FL228" s="24"/>
    </row>
    <row r="229" spans="1:168" ht="15.75" customHeight="1">
      <c r="A229" s="176"/>
      <c r="B229" s="177"/>
      <c r="C229" s="177"/>
      <c r="D229" s="177"/>
      <c r="E229" s="177"/>
      <c r="F229" s="177"/>
      <c r="G229" s="178"/>
      <c r="H229" s="179"/>
      <c r="J229" s="185"/>
      <c r="O229" s="182"/>
      <c r="P229" s="182"/>
      <c r="Q229" s="1"/>
      <c r="AC229" s="180"/>
      <c r="AD229" s="180"/>
      <c r="AE229" s="180"/>
      <c r="AJ229" s="191"/>
      <c r="BS229" s="181"/>
      <c r="CC229" s="24"/>
      <c r="CD229" s="24"/>
      <c r="CE229" s="24"/>
      <c r="CF229" s="24"/>
      <c r="CG229" s="24"/>
      <c r="CH229" s="24"/>
      <c r="CI229" s="24"/>
      <c r="CJ229" s="24"/>
      <c r="DE229" s="24"/>
      <c r="DF229" s="24"/>
      <c r="DG229" s="24"/>
      <c r="DH229" s="24"/>
      <c r="DI229" s="24"/>
      <c r="DJ229" s="24"/>
      <c r="DK229" s="24"/>
      <c r="DL229" s="24"/>
      <c r="DM229" s="24"/>
      <c r="DN229" s="24"/>
      <c r="DO229" s="24"/>
      <c r="DP229" s="24"/>
      <c r="DQ229" s="24"/>
      <c r="DR229" s="24"/>
      <c r="DS229" s="24"/>
      <c r="DT229" s="24"/>
      <c r="DU229" s="24"/>
      <c r="DV229" s="24"/>
      <c r="DW229" s="24"/>
      <c r="DX229" s="24"/>
      <c r="DY229" s="24"/>
      <c r="DZ229" s="24"/>
      <c r="EA229" s="24"/>
      <c r="EB229" s="24"/>
      <c r="EC229" s="24"/>
      <c r="ED229" s="24"/>
      <c r="EE229" s="24"/>
      <c r="EF229" s="24"/>
      <c r="EG229" s="24"/>
      <c r="EH229" s="24"/>
      <c r="EI229" s="24"/>
      <c r="EJ229" s="24"/>
      <c r="EK229" s="24"/>
      <c r="EL229" s="24"/>
      <c r="EM229" s="24"/>
      <c r="EN229" s="24"/>
      <c r="EO229" s="24"/>
      <c r="EP229" s="24"/>
      <c r="EQ229" s="24"/>
      <c r="ER229" s="24"/>
      <c r="ES229" s="24"/>
      <c r="ET229" s="24"/>
      <c r="EU229" s="24"/>
      <c r="EV229" s="24"/>
      <c r="EW229" s="24"/>
      <c r="EX229" s="24"/>
      <c r="EY229" s="24"/>
      <c r="EZ229" s="24"/>
      <c r="FA229" s="24"/>
      <c r="FB229" s="24"/>
      <c r="FC229" s="24"/>
      <c r="FD229" s="24"/>
      <c r="FE229" s="24"/>
      <c r="FF229" s="24"/>
      <c r="FG229" s="24"/>
      <c r="FH229" s="24"/>
      <c r="FI229" s="24"/>
      <c r="FJ229" s="24"/>
      <c r="FK229" s="24"/>
      <c r="FL229" s="24"/>
    </row>
    <row r="230" spans="1:168" ht="15.75" customHeight="1">
      <c r="A230" s="176"/>
      <c r="B230" s="177"/>
      <c r="C230" s="177"/>
      <c r="D230" s="177"/>
      <c r="E230" s="177"/>
      <c r="F230" s="177"/>
      <c r="G230" s="178"/>
      <c r="H230" s="179"/>
      <c r="J230" s="185"/>
      <c r="O230" s="182"/>
      <c r="P230" s="182"/>
      <c r="Q230" s="1"/>
      <c r="AC230" s="180"/>
      <c r="AD230" s="180"/>
      <c r="AE230" s="180"/>
      <c r="AJ230" s="191"/>
      <c r="BS230" s="181"/>
      <c r="CC230" s="24"/>
      <c r="CD230" s="24"/>
      <c r="CE230" s="24"/>
      <c r="CF230" s="24"/>
      <c r="CG230" s="24"/>
      <c r="CH230" s="24"/>
      <c r="CI230" s="24"/>
      <c r="CJ230" s="24"/>
      <c r="DE230" s="24"/>
      <c r="DF230" s="24"/>
      <c r="DG230" s="24"/>
      <c r="DH230" s="24"/>
      <c r="DI230" s="24"/>
      <c r="DJ230" s="24"/>
      <c r="DK230" s="24"/>
      <c r="DL230" s="24"/>
      <c r="DM230" s="24"/>
      <c r="DN230" s="24"/>
      <c r="DO230" s="24"/>
      <c r="DP230" s="24"/>
      <c r="DQ230" s="24"/>
      <c r="DR230" s="24"/>
      <c r="DS230" s="24"/>
      <c r="DT230" s="24"/>
      <c r="DU230" s="24"/>
      <c r="DV230" s="24"/>
      <c r="DW230" s="24"/>
      <c r="DX230" s="24"/>
      <c r="DY230" s="24"/>
      <c r="DZ230" s="24"/>
      <c r="EA230" s="24"/>
      <c r="EB230" s="24"/>
      <c r="EC230" s="24"/>
      <c r="ED230" s="24"/>
      <c r="EE230" s="24"/>
      <c r="EF230" s="24"/>
      <c r="EG230" s="24"/>
      <c r="EH230" s="24"/>
      <c r="EI230" s="24"/>
      <c r="EJ230" s="24"/>
      <c r="EK230" s="24"/>
      <c r="EL230" s="24"/>
      <c r="EM230" s="24"/>
      <c r="EN230" s="24"/>
      <c r="EO230" s="24"/>
      <c r="EP230" s="24"/>
      <c r="EQ230" s="24"/>
      <c r="ER230" s="24"/>
      <c r="ES230" s="24"/>
      <c r="ET230" s="24"/>
      <c r="EU230" s="24"/>
      <c r="EV230" s="24"/>
      <c r="EW230" s="24"/>
      <c r="EX230" s="24"/>
      <c r="EY230" s="24"/>
      <c r="EZ230" s="24"/>
      <c r="FA230" s="24"/>
      <c r="FB230" s="24"/>
      <c r="FC230" s="24"/>
      <c r="FD230" s="24"/>
      <c r="FE230" s="24"/>
      <c r="FF230" s="24"/>
      <c r="FG230" s="24"/>
      <c r="FH230" s="24"/>
      <c r="FI230" s="24"/>
      <c r="FJ230" s="24"/>
      <c r="FK230" s="24"/>
      <c r="FL230" s="24"/>
    </row>
    <row r="231" spans="1:168" ht="15.75" customHeight="1">
      <c r="A231" s="176"/>
      <c r="B231" s="177"/>
      <c r="C231" s="177"/>
      <c r="D231" s="177"/>
      <c r="E231" s="177"/>
      <c r="F231" s="177"/>
      <c r="G231" s="178"/>
      <c r="H231" s="179"/>
      <c r="J231" s="185"/>
      <c r="O231" s="182"/>
      <c r="P231" s="182"/>
      <c r="Q231" s="1"/>
      <c r="AC231" s="180"/>
      <c r="AD231" s="180"/>
      <c r="AE231" s="180"/>
      <c r="AJ231" s="191"/>
      <c r="BS231" s="181"/>
      <c r="CC231" s="24"/>
      <c r="CD231" s="24"/>
      <c r="CE231" s="24"/>
      <c r="CF231" s="24"/>
      <c r="CG231" s="24"/>
      <c r="CH231" s="24"/>
      <c r="CI231" s="24"/>
      <c r="CJ231" s="24"/>
      <c r="DE231" s="24"/>
      <c r="DF231" s="24"/>
      <c r="DG231" s="24"/>
      <c r="DH231" s="24"/>
      <c r="DI231" s="24"/>
      <c r="DJ231" s="24"/>
      <c r="DK231" s="24"/>
      <c r="DL231" s="24"/>
      <c r="DM231" s="24"/>
      <c r="DN231" s="24"/>
      <c r="DO231" s="24"/>
      <c r="DP231" s="24"/>
      <c r="DQ231" s="24"/>
      <c r="DR231" s="24"/>
      <c r="DS231" s="24"/>
      <c r="DT231" s="24"/>
      <c r="DU231" s="24"/>
      <c r="DV231" s="24"/>
      <c r="DW231" s="24"/>
      <c r="DX231" s="24"/>
      <c r="DY231" s="24"/>
      <c r="DZ231" s="24"/>
      <c r="EA231" s="24"/>
      <c r="EB231" s="24"/>
      <c r="EC231" s="24"/>
      <c r="ED231" s="24"/>
      <c r="EE231" s="24"/>
      <c r="EF231" s="24"/>
      <c r="EG231" s="24"/>
      <c r="EH231" s="24"/>
      <c r="EI231" s="24"/>
      <c r="EJ231" s="24"/>
      <c r="EK231" s="24"/>
      <c r="EL231" s="24"/>
      <c r="EM231" s="24"/>
      <c r="EN231" s="24"/>
      <c r="EO231" s="24"/>
      <c r="EP231" s="24"/>
      <c r="EQ231" s="24"/>
      <c r="ER231" s="24"/>
      <c r="ES231" s="24"/>
      <c r="ET231" s="24"/>
      <c r="EU231" s="24"/>
      <c r="EV231" s="24"/>
      <c r="EW231" s="24"/>
      <c r="EX231" s="24"/>
      <c r="EY231" s="24"/>
      <c r="EZ231" s="24"/>
      <c r="FA231" s="24"/>
      <c r="FB231" s="24"/>
      <c r="FC231" s="24"/>
      <c r="FD231" s="24"/>
      <c r="FE231" s="24"/>
      <c r="FF231" s="24"/>
      <c r="FG231" s="24"/>
      <c r="FH231" s="24"/>
      <c r="FI231" s="24"/>
      <c r="FJ231" s="24"/>
      <c r="FK231" s="24"/>
      <c r="FL231" s="24"/>
    </row>
    <row r="232" spans="1:168" ht="15.75" customHeight="1">
      <c r="A232" s="176"/>
      <c r="B232" s="177"/>
      <c r="C232" s="177"/>
      <c r="D232" s="177"/>
      <c r="E232" s="177"/>
      <c r="F232" s="177"/>
      <c r="G232" s="178"/>
      <c r="H232" s="179"/>
      <c r="J232" s="185"/>
      <c r="O232" s="182"/>
      <c r="P232" s="182"/>
      <c r="Q232" s="1"/>
      <c r="AC232" s="180"/>
      <c r="AD232" s="180"/>
      <c r="AE232" s="180"/>
      <c r="AJ232" s="191"/>
      <c r="BS232" s="181"/>
      <c r="CC232" s="24"/>
      <c r="CD232" s="24"/>
      <c r="CE232" s="24"/>
      <c r="CF232" s="24"/>
      <c r="CG232" s="24"/>
      <c r="CH232" s="24"/>
      <c r="CI232" s="24"/>
      <c r="CJ232" s="24"/>
      <c r="DE232" s="24"/>
      <c r="DF232" s="24"/>
      <c r="DG232" s="24"/>
      <c r="DH232" s="24"/>
      <c r="DI232" s="24"/>
      <c r="DJ232" s="24"/>
      <c r="DK232" s="24"/>
      <c r="DL232" s="24"/>
      <c r="DM232" s="24"/>
      <c r="DN232" s="24"/>
      <c r="DO232" s="24"/>
      <c r="DP232" s="24"/>
      <c r="DQ232" s="24"/>
      <c r="DR232" s="24"/>
      <c r="DS232" s="24"/>
      <c r="DT232" s="24"/>
      <c r="DU232" s="24"/>
      <c r="DV232" s="24"/>
      <c r="DW232" s="24"/>
      <c r="DX232" s="24"/>
      <c r="DY232" s="24"/>
      <c r="DZ232" s="24"/>
      <c r="EA232" s="24"/>
      <c r="EB232" s="24"/>
      <c r="EC232" s="24"/>
      <c r="ED232" s="24"/>
      <c r="EE232" s="24"/>
      <c r="EF232" s="24"/>
      <c r="EG232" s="24"/>
      <c r="EH232" s="24"/>
      <c r="EI232" s="24"/>
      <c r="EJ232" s="24"/>
      <c r="EK232" s="24"/>
      <c r="EL232" s="24"/>
      <c r="EM232" s="24"/>
      <c r="EN232" s="24"/>
      <c r="EO232" s="24"/>
      <c r="EP232" s="24"/>
      <c r="EQ232" s="24"/>
      <c r="ER232" s="24"/>
      <c r="ES232" s="24"/>
      <c r="ET232" s="24"/>
      <c r="EU232" s="24"/>
      <c r="EV232" s="24"/>
      <c r="EW232" s="24"/>
      <c r="EX232" s="24"/>
      <c r="EY232" s="24"/>
      <c r="EZ232" s="24"/>
      <c r="FA232" s="24"/>
      <c r="FB232" s="24"/>
      <c r="FC232" s="24"/>
      <c r="FD232" s="24"/>
      <c r="FE232" s="24"/>
      <c r="FF232" s="24"/>
      <c r="FG232" s="24"/>
      <c r="FH232" s="24"/>
      <c r="FI232" s="24"/>
      <c r="FJ232" s="24"/>
      <c r="FK232" s="24"/>
      <c r="FL232" s="24"/>
    </row>
    <row r="233" spans="1:168" ht="15.75" customHeight="1">
      <c r="A233" s="176"/>
      <c r="B233" s="177"/>
      <c r="C233" s="177"/>
      <c r="D233" s="177"/>
      <c r="E233" s="177"/>
      <c r="F233" s="177"/>
      <c r="G233" s="178"/>
      <c r="H233" s="179"/>
      <c r="J233" s="185"/>
      <c r="O233" s="182"/>
      <c r="P233" s="182"/>
      <c r="Q233" s="1"/>
      <c r="AC233" s="180"/>
      <c r="AD233" s="180"/>
      <c r="AE233" s="180"/>
      <c r="AJ233" s="191"/>
      <c r="BS233" s="181"/>
      <c r="CC233" s="24"/>
      <c r="CD233" s="24"/>
      <c r="CE233" s="24"/>
      <c r="CF233" s="24"/>
      <c r="CG233" s="24"/>
      <c r="CH233" s="24"/>
      <c r="CI233" s="24"/>
      <c r="CJ233" s="24"/>
      <c r="DE233" s="24"/>
      <c r="DF233" s="24"/>
      <c r="DG233" s="24"/>
      <c r="DH233" s="24"/>
      <c r="DI233" s="24"/>
      <c r="DJ233" s="24"/>
      <c r="DK233" s="24"/>
      <c r="DL233" s="24"/>
      <c r="DM233" s="24"/>
      <c r="DN233" s="24"/>
      <c r="DO233" s="24"/>
      <c r="DP233" s="24"/>
      <c r="DQ233" s="24"/>
      <c r="DR233" s="24"/>
      <c r="DS233" s="24"/>
      <c r="DT233" s="24"/>
      <c r="DU233" s="24"/>
      <c r="DV233" s="24"/>
      <c r="DW233" s="24"/>
      <c r="DX233" s="24"/>
      <c r="DY233" s="24"/>
      <c r="DZ233" s="24"/>
      <c r="EA233" s="24"/>
      <c r="EB233" s="24"/>
      <c r="EC233" s="24"/>
      <c r="ED233" s="24"/>
      <c r="EE233" s="24"/>
      <c r="EF233" s="24"/>
      <c r="EG233" s="24"/>
      <c r="EH233" s="24"/>
      <c r="EI233" s="24"/>
      <c r="EJ233" s="24"/>
      <c r="EK233" s="24"/>
      <c r="EL233" s="24"/>
      <c r="EM233" s="24"/>
      <c r="EN233" s="24"/>
      <c r="EO233" s="24"/>
      <c r="EP233" s="24"/>
      <c r="EQ233" s="24"/>
      <c r="ER233" s="24"/>
      <c r="ES233" s="24"/>
      <c r="ET233" s="24"/>
      <c r="EU233" s="24"/>
      <c r="EV233" s="24"/>
      <c r="EW233" s="24"/>
      <c r="EX233" s="24"/>
      <c r="EY233" s="24"/>
      <c r="EZ233" s="24"/>
      <c r="FA233" s="24"/>
      <c r="FB233" s="24"/>
      <c r="FC233" s="24"/>
      <c r="FD233" s="24"/>
      <c r="FE233" s="24"/>
      <c r="FF233" s="24"/>
      <c r="FG233" s="24"/>
      <c r="FH233" s="24"/>
      <c r="FI233" s="24"/>
      <c r="FJ233" s="24"/>
      <c r="FK233" s="24"/>
      <c r="FL233" s="24"/>
    </row>
    <row r="234" spans="1:168" ht="15.75" customHeight="1">
      <c r="A234" s="176"/>
      <c r="B234" s="177"/>
      <c r="C234" s="177"/>
      <c r="D234" s="177"/>
      <c r="E234" s="177"/>
      <c r="F234" s="177"/>
      <c r="G234" s="178"/>
      <c r="H234" s="179"/>
      <c r="J234" s="185"/>
      <c r="O234" s="182"/>
      <c r="P234" s="182"/>
      <c r="Q234" s="1"/>
      <c r="AC234" s="180"/>
      <c r="AD234" s="180"/>
      <c r="AE234" s="180"/>
      <c r="AJ234" s="191"/>
      <c r="BS234" s="181"/>
      <c r="CC234" s="24"/>
      <c r="CD234" s="24"/>
      <c r="CE234" s="24"/>
      <c r="CF234" s="24"/>
      <c r="CG234" s="24"/>
      <c r="CH234" s="24"/>
      <c r="CI234" s="24"/>
      <c r="CJ234" s="24"/>
      <c r="DE234" s="24"/>
      <c r="DF234" s="24"/>
      <c r="DG234" s="24"/>
      <c r="DH234" s="24"/>
      <c r="DI234" s="24"/>
      <c r="DJ234" s="24"/>
      <c r="DK234" s="24"/>
      <c r="DL234" s="24"/>
      <c r="DM234" s="24"/>
      <c r="DN234" s="24"/>
      <c r="DO234" s="24"/>
      <c r="DP234" s="24"/>
      <c r="DQ234" s="24"/>
      <c r="DR234" s="24"/>
      <c r="DS234" s="24"/>
      <c r="DT234" s="24"/>
      <c r="DU234" s="24"/>
      <c r="DV234" s="24"/>
      <c r="DW234" s="24"/>
      <c r="DX234" s="24"/>
      <c r="DY234" s="24"/>
      <c r="DZ234" s="24"/>
      <c r="EA234" s="24"/>
      <c r="EB234" s="24"/>
      <c r="EC234" s="24"/>
      <c r="ED234" s="24"/>
      <c r="EE234" s="24"/>
      <c r="EF234" s="24"/>
      <c r="EG234" s="24"/>
      <c r="EH234" s="24"/>
      <c r="EI234" s="24"/>
      <c r="EJ234" s="24"/>
      <c r="EK234" s="24"/>
      <c r="EL234" s="24"/>
      <c r="EM234" s="24"/>
      <c r="EN234" s="24"/>
      <c r="EO234" s="24"/>
      <c r="EP234" s="24"/>
      <c r="EQ234" s="24"/>
      <c r="ER234" s="24"/>
      <c r="ES234" s="24"/>
      <c r="ET234" s="24"/>
      <c r="EU234" s="24"/>
      <c r="EV234" s="24"/>
      <c r="EW234" s="24"/>
      <c r="EX234" s="24"/>
      <c r="EY234" s="24"/>
      <c r="EZ234" s="24"/>
      <c r="FA234" s="24"/>
      <c r="FB234" s="24"/>
      <c r="FC234" s="24"/>
      <c r="FD234" s="24"/>
      <c r="FE234" s="24"/>
      <c r="FF234" s="24"/>
      <c r="FG234" s="24"/>
      <c r="FH234" s="24"/>
      <c r="FI234" s="24"/>
      <c r="FJ234" s="24"/>
      <c r="FK234" s="24"/>
      <c r="FL234" s="24"/>
    </row>
    <row r="235" spans="1:168" ht="15.75" customHeight="1">
      <c r="A235" s="176"/>
      <c r="B235" s="177"/>
      <c r="C235" s="177"/>
      <c r="D235" s="177"/>
      <c r="E235" s="177"/>
      <c r="F235" s="177"/>
      <c r="G235" s="178"/>
      <c r="H235" s="179"/>
      <c r="J235" s="185"/>
      <c r="O235" s="182"/>
      <c r="P235" s="182"/>
      <c r="Q235" s="1"/>
      <c r="AC235" s="180"/>
      <c r="AD235" s="180"/>
      <c r="AE235" s="180"/>
      <c r="AJ235" s="191"/>
      <c r="BS235" s="181"/>
      <c r="CC235" s="24"/>
      <c r="CD235" s="24"/>
      <c r="CE235" s="24"/>
      <c r="CF235" s="24"/>
      <c r="CG235" s="24"/>
      <c r="CH235" s="24"/>
      <c r="CI235" s="24"/>
      <c r="CJ235" s="24"/>
      <c r="DE235" s="24"/>
      <c r="DF235" s="24"/>
      <c r="DG235" s="24"/>
      <c r="DH235" s="24"/>
      <c r="DI235" s="24"/>
      <c r="DJ235" s="24"/>
      <c r="DK235" s="24"/>
      <c r="DL235" s="24"/>
      <c r="DM235" s="24"/>
      <c r="DN235" s="24"/>
      <c r="DO235" s="24"/>
      <c r="DP235" s="24"/>
      <c r="DQ235" s="24"/>
      <c r="DR235" s="24"/>
      <c r="DS235" s="24"/>
      <c r="DT235" s="24"/>
      <c r="DU235" s="24"/>
      <c r="DV235" s="24"/>
      <c r="DW235" s="24"/>
      <c r="DX235" s="24"/>
      <c r="DY235" s="24"/>
      <c r="DZ235" s="24"/>
      <c r="EA235" s="24"/>
      <c r="EB235" s="24"/>
      <c r="EC235" s="24"/>
      <c r="ED235" s="24"/>
      <c r="EE235" s="24"/>
      <c r="EF235" s="24"/>
      <c r="EG235" s="24"/>
      <c r="EH235" s="24"/>
      <c r="EI235" s="24"/>
      <c r="EJ235" s="24"/>
      <c r="EK235" s="24"/>
      <c r="EL235" s="24"/>
      <c r="EM235" s="24"/>
      <c r="EN235" s="24"/>
      <c r="EO235" s="24"/>
      <c r="EP235" s="24"/>
      <c r="EQ235" s="24"/>
      <c r="ER235" s="24"/>
      <c r="ES235" s="24"/>
      <c r="ET235" s="24"/>
      <c r="EU235" s="24"/>
      <c r="EV235" s="24"/>
      <c r="EW235" s="24"/>
      <c r="EX235" s="24"/>
      <c r="EY235" s="24"/>
      <c r="EZ235" s="24"/>
      <c r="FA235" s="24"/>
      <c r="FB235" s="24"/>
      <c r="FC235" s="24"/>
      <c r="FD235" s="24"/>
      <c r="FE235" s="24"/>
      <c r="FF235" s="24"/>
      <c r="FG235" s="24"/>
      <c r="FH235" s="24"/>
      <c r="FI235" s="24"/>
      <c r="FJ235" s="24"/>
      <c r="FK235" s="24"/>
      <c r="FL235" s="24"/>
    </row>
    <row r="236" spans="1:168" ht="15.75" customHeight="1">
      <c r="A236" s="176"/>
      <c r="B236" s="177"/>
      <c r="C236" s="177"/>
      <c r="D236" s="177"/>
      <c r="E236" s="177"/>
      <c r="F236" s="177"/>
      <c r="G236" s="178"/>
      <c r="H236" s="179"/>
      <c r="J236" s="185"/>
      <c r="O236" s="182"/>
      <c r="P236" s="182"/>
      <c r="Q236" s="1"/>
      <c r="AC236" s="180"/>
      <c r="AD236" s="180"/>
      <c r="AE236" s="180"/>
      <c r="AJ236" s="191"/>
      <c r="BS236" s="181"/>
      <c r="CC236" s="24"/>
      <c r="CD236" s="24"/>
      <c r="CE236" s="24"/>
      <c r="CF236" s="24"/>
      <c r="CG236" s="24"/>
      <c r="CH236" s="24"/>
      <c r="CI236" s="24"/>
      <c r="CJ236" s="24"/>
      <c r="DE236" s="24"/>
      <c r="DF236" s="24"/>
      <c r="DG236" s="24"/>
      <c r="DH236" s="24"/>
      <c r="DI236" s="24"/>
      <c r="DJ236" s="24"/>
      <c r="DK236" s="24"/>
      <c r="DL236" s="24"/>
      <c r="DM236" s="24"/>
      <c r="DN236" s="24"/>
      <c r="DO236" s="24"/>
      <c r="DP236" s="24"/>
      <c r="DQ236" s="24"/>
      <c r="DR236" s="24"/>
      <c r="DS236" s="24"/>
      <c r="DT236" s="24"/>
      <c r="DU236" s="24"/>
      <c r="DV236" s="24"/>
      <c r="DW236" s="24"/>
      <c r="DX236" s="24"/>
      <c r="DY236" s="24"/>
      <c r="DZ236" s="24"/>
      <c r="EA236" s="24"/>
      <c r="EB236" s="24"/>
      <c r="EC236" s="24"/>
      <c r="ED236" s="24"/>
      <c r="EE236" s="24"/>
      <c r="EF236" s="24"/>
      <c r="EG236" s="24"/>
      <c r="EH236" s="24"/>
      <c r="EI236" s="24"/>
      <c r="EJ236" s="24"/>
      <c r="EK236" s="24"/>
      <c r="EL236" s="24"/>
      <c r="EM236" s="24"/>
      <c r="EN236" s="24"/>
      <c r="EO236" s="24"/>
      <c r="EP236" s="24"/>
      <c r="EQ236" s="24"/>
      <c r="ER236" s="24"/>
      <c r="ES236" s="24"/>
      <c r="ET236" s="24"/>
      <c r="EU236" s="24"/>
      <c r="EV236" s="24"/>
      <c r="EW236" s="24"/>
      <c r="EX236" s="24"/>
      <c r="EY236" s="24"/>
      <c r="EZ236" s="24"/>
      <c r="FA236" s="24"/>
      <c r="FB236" s="24"/>
      <c r="FC236" s="24"/>
      <c r="FD236" s="24"/>
      <c r="FE236" s="24"/>
      <c r="FF236" s="24"/>
      <c r="FG236" s="24"/>
      <c r="FH236" s="24"/>
      <c r="FI236" s="24"/>
      <c r="FJ236" s="24"/>
      <c r="FK236" s="24"/>
      <c r="FL236" s="24"/>
    </row>
    <row r="237" spans="1:168" ht="15.75" customHeight="1">
      <c r="A237" s="176"/>
      <c r="B237" s="177"/>
      <c r="C237" s="177"/>
      <c r="D237" s="177"/>
      <c r="E237" s="177"/>
      <c r="F237" s="177"/>
      <c r="G237" s="178"/>
      <c r="H237" s="179"/>
      <c r="J237" s="185"/>
      <c r="O237" s="182"/>
      <c r="P237" s="182"/>
      <c r="Q237" s="1"/>
      <c r="AC237" s="180"/>
      <c r="AD237" s="180"/>
      <c r="AE237" s="180"/>
      <c r="AJ237" s="191"/>
      <c r="BS237" s="181"/>
      <c r="CC237" s="24"/>
      <c r="CD237" s="24"/>
      <c r="CE237" s="24"/>
      <c r="CF237" s="24"/>
      <c r="CG237" s="24"/>
      <c r="CH237" s="24"/>
      <c r="CI237" s="24"/>
      <c r="CJ237" s="24"/>
      <c r="DE237" s="24"/>
      <c r="DF237" s="24"/>
      <c r="DG237" s="24"/>
      <c r="DH237" s="24"/>
      <c r="DI237" s="24"/>
      <c r="DJ237" s="24"/>
      <c r="DK237" s="24"/>
      <c r="DL237" s="24"/>
      <c r="DM237" s="24"/>
      <c r="DN237" s="24"/>
      <c r="DO237" s="24"/>
      <c r="DP237" s="24"/>
      <c r="DQ237" s="24"/>
      <c r="DR237" s="24"/>
      <c r="DS237" s="24"/>
      <c r="DT237" s="24"/>
      <c r="DU237" s="24"/>
      <c r="DV237" s="24"/>
      <c r="DW237" s="24"/>
      <c r="DX237" s="24"/>
      <c r="DY237" s="24"/>
      <c r="DZ237" s="24"/>
      <c r="EA237" s="24"/>
      <c r="EB237" s="24"/>
      <c r="EC237" s="24"/>
      <c r="ED237" s="24"/>
      <c r="EE237" s="24"/>
      <c r="EF237" s="24"/>
      <c r="EG237" s="24"/>
      <c r="EH237" s="24"/>
      <c r="EI237" s="24"/>
      <c r="EJ237" s="24"/>
      <c r="EK237" s="24"/>
      <c r="EL237" s="24"/>
      <c r="EM237" s="24"/>
      <c r="EN237" s="24"/>
      <c r="EO237" s="24"/>
      <c r="EP237" s="24"/>
      <c r="EQ237" s="24"/>
      <c r="ER237" s="24"/>
      <c r="ES237" s="24"/>
      <c r="ET237" s="24"/>
      <c r="EU237" s="24"/>
      <c r="EV237" s="24"/>
      <c r="EW237" s="24"/>
      <c r="EX237" s="24"/>
      <c r="EY237" s="24"/>
      <c r="EZ237" s="24"/>
      <c r="FA237" s="24"/>
      <c r="FB237" s="24"/>
      <c r="FC237" s="24"/>
      <c r="FD237" s="24"/>
      <c r="FE237" s="24"/>
      <c r="FF237" s="24"/>
      <c r="FG237" s="24"/>
      <c r="FH237" s="24"/>
      <c r="FI237" s="24"/>
      <c r="FJ237" s="24"/>
      <c r="FK237" s="24"/>
      <c r="FL237" s="24"/>
    </row>
    <row r="238" spans="1:168" ht="15.75" customHeight="1">
      <c r="A238" s="176"/>
      <c r="B238" s="177"/>
      <c r="C238" s="177"/>
      <c r="D238" s="177"/>
      <c r="E238" s="177"/>
      <c r="F238" s="177"/>
      <c r="G238" s="178"/>
      <c r="H238" s="179"/>
      <c r="J238" s="185"/>
      <c r="O238" s="182"/>
      <c r="P238" s="182"/>
      <c r="Q238" s="1"/>
      <c r="AC238" s="180"/>
      <c r="AD238" s="180"/>
      <c r="AE238" s="180"/>
      <c r="AJ238" s="191"/>
      <c r="BS238" s="181"/>
      <c r="CC238" s="24"/>
      <c r="CD238" s="24"/>
      <c r="CE238" s="24"/>
      <c r="CF238" s="24"/>
      <c r="CG238" s="24"/>
      <c r="CH238" s="24"/>
      <c r="CI238" s="24"/>
      <c r="CJ238" s="24"/>
      <c r="DE238" s="24"/>
      <c r="DF238" s="24"/>
      <c r="DG238" s="24"/>
      <c r="DH238" s="24"/>
      <c r="DI238" s="24"/>
      <c r="DJ238" s="24"/>
      <c r="DK238" s="24"/>
      <c r="DL238" s="24"/>
      <c r="DM238" s="24"/>
      <c r="DN238" s="24"/>
      <c r="DO238" s="24"/>
      <c r="DP238" s="24"/>
      <c r="DQ238" s="24"/>
      <c r="DR238" s="24"/>
      <c r="DS238" s="24"/>
      <c r="DT238" s="24"/>
      <c r="DU238" s="24"/>
      <c r="DV238" s="24"/>
      <c r="DW238" s="24"/>
      <c r="DX238" s="24"/>
      <c r="DY238" s="24"/>
      <c r="DZ238" s="24"/>
      <c r="EA238" s="24"/>
      <c r="EB238" s="24"/>
      <c r="EC238" s="24"/>
      <c r="ED238" s="24"/>
      <c r="EE238" s="24"/>
      <c r="EF238" s="24"/>
      <c r="EG238" s="24"/>
      <c r="EH238" s="24"/>
      <c r="EI238" s="24"/>
      <c r="EJ238" s="24"/>
      <c r="EK238" s="24"/>
      <c r="EL238" s="24"/>
      <c r="EM238" s="24"/>
      <c r="EN238" s="24"/>
      <c r="EO238" s="24"/>
      <c r="EP238" s="24"/>
      <c r="EQ238" s="24"/>
      <c r="ER238" s="24"/>
      <c r="ES238" s="24"/>
      <c r="ET238" s="24"/>
      <c r="EU238" s="24"/>
      <c r="EV238" s="24"/>
      <c r="EW238" s="24"/>
      <c r="EX238" s="24"/>
      <c r="EY238" s="24"/>
      <c r="EZ238" s="24"/>
      <c r="FA238" s="24"/>
      <c r="FB238" s="24"/>
      <c r="FC238" s="24"/>
      <c r="FD238" s="24"/>
      <c r="FE238" s="24"/>
      <c r="FF238" s="24"/>
      <c r="FG238" s="24"/>
      <c r="FH238" s="24"/>
      <c r="FI238" s="24"/>
      <c r="FJ238" s="24"/>
      <c r="FK238" s="24"/>
      <c r="FL238" s="24"/>
    </row>
    <row r="239" spans="1:168" ht="15.75" customHeight="1">
      <c r="A239" s="176"/>
      <c r="B239" s="177"/>
      <c r="C239" s="177"/>
      <c r="D239" s="177"/>
      <c r="E239" s="177"/>
      <c r="F239" s="177"/>
      <c r="G239" s="178"/>
      <c r="H239" s="179"/>
      <c r="J239" s="185"/>
      <c r="O239" s="182"/>
      <c r="P239" s="182"/>
      <c r="Q239" s="1"/>
      <c r="AC239" s="180"/>
      <c r="AD239" s="180"/>
      <c r="AE239" s="180"/>
      <c r="AJ239" s="191"/>
      <c r="BS239" s="181"/>
      <c r="CC239" s="24"/>
      <c r="CD239" s="24"/>
      <c r="CE239" s="24"/>
      <c r="CF239" s="24"/>
      <c r="CG239" s="24"/>
      <c r="CH239" s="24"/>
      <c r="CI239" s="24"/>
      <c r="CJ239" s="24"/>
      <c r="DE239" s="24"/>
      <c r="DF239" s="24"/>
      <c r="DG239" s="24"/>
      <c r="DH239" s="24"/>
      <c r="DI239" s="24"/>
      <c r="DJ239" s="24"/>
      <c r="DK239" s="24"/>
      <c r="DL239" s="24"/>
      <c r="DM239" s="24"/>
      <c r="DN239" s="24"/>
      <c r="DO239" s="24"/>
      <c r="DP239" s="24"/>
      <c r="DQ239" s="24"/>
      <c r="DR239" s="24"/>
      <c r="DS239" s="24"/>
      <c r="DT239" s="24"/>
      <c r="DU239" s="24"/>
      <c r="DV239" s="24"/>
      <c r="DW239" s="24"/>
      <c r="DX239" s="24"/>
      <c r="DY239" s="24"/>
      <c r="DZ239" s="24"/>
      <c r="EA239" s="24"/>
      <c r="EB239" s="24"/>
      <c r="EC239" s="24"/>
      <c r="ED239" s="24"/>
      <c r="EE239" s="24"/>
      <c r="EF239" s="24"/>
      <c r="EG239" s="24"/>
      <c r="EH239" s="24"/>
      <c r="EI239" s="24"/>
      <c r="EJ239" s="24"/>
      <c r="EK239" s="24"/>
      <c r="EL239" s="24"/>
      <c r="EM239" s="24"/>
      <c r="EN239" s="24"/>
      <c r="EO239" s="24"/>
      <c r="EP239" s="24"/>
      <c r="EQ239" s="24"/>
      <c r="ER239" s="24"/>
      <c r="ES239" s="24"/>
      <c r="ET239" s="24"/>
      <c r="EU239" s="24"/>
      <c r="EV239" s="24"/>
      <c r="EW239" s="24"/>
      <c r="EX239" s="24"/>
      <c r="EY239" s="24"/>
      <c r="EZ239" s="24"/>
      <c r="FA239" s="24"/>
      <c r="FB239" s="24"/>
      <c r="FC239" s="24"/>
      <c r="FD239" s="24"/>
      <c r="FE239" s="24"/>
      <c r="FF239" s="24"/>
      <c r="FG239" s="24"/>
      <c r="FH239" s="24"/>
      <c r="FI239" s="24"/>
      <c r="FJ239" s="24"/>
      <c r="FK239" s="24"/>
      <c r="FL239" s="24"/>
    </row>
    <row r="240" spans="1:168" ht="15.75" customHeight="1">
      <c r="A240" s="176"/>
      <c r="B240" s="177"/>
      <c r="C240" s="177"/>
      <c r="D240" s="177"/>
      <c r="E240" s="177"/>
      <c r="F240" s="177"/>
      <c r="G240" s="178"/>
      <c r="H240" s="179"/>
      <c r="J240" s="185"/>
      <c r="O240" s="182"/>
      <c r="P240" s="182"/>
      <c r="Q240" s="1"/>
      <c r="AC240" s="180"/>
      <c r="AD240" s="180"/>
      <c r="AE240" s="180"/>
      <c r="AJ240" s="191"/>
      <c r="BS240" s="181"/>
      <c r="CC240" s="24"/>
      <c r="CD240" s="24"/>
      <c r="CE240" s="24"/>
      <c r="CF240" s="24"/>
      <c r="CG240" s="24"/>
      <c r="CH240" s="24"/>
      <c r="CI240" s="24"/>
      <c r="CJ240" s="24"/>
      <c r="DE240" s="24"/>
      <c r="DF240" s="24"/>
      <c r="DG240" s="24"/>
      <c r="DH240" s="24"/>
      <c r="DI240" s="24"/>
      <c r="DJ240" s="24"/>
      <c r="DK240" s="24"/>
      <c r="DL240" s="24"/>
      <c r="DM240" s="24"/>
      <c r="DN240" s="24"/>
      <c r="DO240" s="24"/>
      <c r="DP240" s="24"/>
      <c r="DQ240" s="24"/>
      <c r="DR240" s="24"/>
      <c r="DS240" s="24"/>
      <c r="DT240" s="24"/>
      <c r="DU240" s="24"/>
      <c r="DV240" s="24"/>
      <c r="DW240" s="24"/>
      <c r="DX240" s="24"/>
      <c r="DY240" s="24"/>
      <c r="DZ240" s="24"/>
      <c r="EA240" s="24"/>
      <c r="EB240" s="24"/>
      <c r="EC240" s="24"/>
      <c r="ED240" s="24"/>
      <c r="EE240" s="24"/>
      <c r="EF240" s="24"/>
      <c r="EG240" s="24"/>
      <c r="EH240" s="24"/>
      <c r="EI240" s="24"/>
      <c r="EJ240" s="24"/>
      <c r="EK240" s="24"/>
      <c r="EL240" s="24"/>
      <c r="EM240" s="24"/>
      <c r="EN240" s="24"/>
      <c r="EO240" s="24"/>
      <c r="EP240" s="24"/>
      <c r="EQ240" s="24"/>
      <c r="ER240" s="24"/>
      <c r="ES240" s="24"/>
      <c r="ET240" s="24"/>
      <c r="EU240" s="24"/>
      <c r="EV240" s="24"/>
      <c r="EW240" s="24"/>
      <c r="EX240" s="24"/>
      <c r="EY240" s="24"/>
      <c r="EZ240" s="24"/>
      <c r="FA240" s="24"/>
      <c r="FB240" s="24"/>
      <c r="FC240" s="24"/>
      <c r="FD240" s="24"/>
      <c r="FE240" s="24"/>
      <c r="FF240" s="24"/>
      <c r="FG240" s="24"/>
      <c r="FH240" s="24"/>
      <c r="FI240" s="24"/>
      <c r="FJ240" s="24"/>
      <c r="FK240" s="24"/>
      <c r="FL240" s="24"/>
    </row>
    <row r="241" spans="1:168" ht="15.75" customHeight="1">
      <c r="A241" s="176"/>
      <c r="B241" s="177"/>
      <c r="C241" s="177"/>
      <c r="D241" s="177"/>
      <c r="E241" s="177"/>
      <c r="F241" s="177"/>
      <c r="G241" s="178"/>
      <c r="H241" s="179"/>
      <c r="J241" s="185"/>
      <c r="O241" s="182"/>
      <c r="P241" s="182"/>
      <c r="Q241" s="1"/>
      <c r="AC241" s="180"/>
      <c r="AD241" s="180"/>
      <c r="AE241" s="180"/>
      <c r="AJ241" s="191"/>
      <c r="BS241" s="181"/>
      <c r="CC241" s="24"/>
      <c r="CD241" s="24"/>
      <c r="CE241" s="24"/>
      <c r="CF241" s="24"/>
      <c r="CG241" s="24"/>
      <c r="CH241" s="24"/>
      <c r="CI241" s="24"/>
      <c r="CJ241" s="24"/>
      <c r="DE241" s="24"/>
      <c r="DF241" s="24"/>
      <c r="DG241" s="24"/>
      <c r="DH241" s="24"/>
      <c r="DI241" s="24"/>
      <c r="DJ241" s="24"/>
      <c r="DK241" s="24"/>
      <c r="DL241" s="24"/>
      <c r="DM241" s="24"/>
      <c r="DN241" s="24"/>
      <c r="DO241" s="24"/>
      <c r="DP241" s="24"/>
      <c r="DQ241" s="24"/>
      <c r="DR241" s="24"/>
      <c r="DS241" s="24"/>
      <c r="DT241" s="24"/>
      <c r="DU241" s="24"/>
      <c r="DV241" s="24"/>
      <c r="DW241" s="24"/>
      <c r="DX241" s="24"/>
      <c r="DY241" s="24"/>
      <c r="DZ241" s="24"/>
      <c r="EA241" s="24"/>
      <c r="EB241" s="24"/>
      <c r="EC241" s="24"/>
      <c r="ED241" s="24"/>
      <c r="EE241" s="24"/>
      <c r="EF241" s="24"/>
      <c r="EG241" s="24"/>
      <c r="EH241" s="24"/>
      <c r="EI241" s="24"/>
      <c r="EJ241" s="24"/>
      <c r="EK241" s="24"/>
      <c r="EL241" s="24"/>
      <c r="EM241" s="24"/>
      <c r="EN241" s="24"/>
      <c r="EO241" s="24"/>
      <c r="EP241" s="24"/>
      <c r="EQ241" s="24"/>
      <c r="ER241" s="24"/>
      <c r="ES241" s="24"/>
      <c r="ET241" s="24"/>
      <c r="EU241" s="24"/>
      <c r="EV241" s="24"/>
      <c r="EW241" s="24"/>
      <c r="EX241" s="24"/>
      <c r="EY241" s="24"/>
      <c r="EZ241" s="24"/>
      <c r="FA241" s="24"/>
      <c r="FB241" s="24"/>
      <c r="FC241" s="24"/>
      <c r="FD241" s="24"/>
      <c r="FE241" s="24"/>
      <c r="FF241" s="24"/>
      <c r="FG241" s="24"/>
      <c r="FH241" s="24"/>
      <c r="FI241" s="24"/>
      <c r="FJ241" s="24"/>
      <c r="FK241" s="24"/>
      <c r="FL241" s="24"/>
    </row>
    <row r="242" spans="1:168" ht="15.75" customHeight="1">
      <c r="A242" s="176"/>
      <c r="B242" s="177"/>
      <c r="C242" s="177"/>
      <c r="D242" s="177"/>
      <c r="E242" s="177"/>
      <c r="F242" s="177"/>
      <c r="G242" s="178"/>
      <c r="H242" s="179"/>
      <c r="J242" s="185"/>
      <c r="O242" s="182"/>
      <c r="P242" s="182"/>
      <c r="Q242" s="1"/>
      <c r="AC242" s="180"/>
      <c r="AD242" s="180"/>
      <c r="AE242" s="180"/>
      <c r="AJ242" s="191"/>
      <c r="BS242" s="181"/>
      <c r="CC242" s="24"/>
      <c r="CD242" s="24"/>
      <c r="CE242" s="24"/>
      <c r="CF242" s="24"/>
      <c r="CG242" s="24"/>
      <c r="CH242" s="24"/>
      <c r="CI242" s="24"/>
      <c r="CJ242" s="24"/>
      <c r="DE242" s="24"/>
      <c r="DF242" s="24"/>
      <c r="DG242" s="24"/>
      <c r="DH242" s="24"/>
      <c r="DI242" s="24"/>
      <c r="DJ242" s="24"/>
      <c r="DK242" s="24"/>
      <c r="DL242" s="24"/>
      <c r="DM242" s="24"/>
      <c r="DN242" s="24"/>
      <c r="DO242" s="24"/>
      <c r="DP242" s="24"/>
      <c r="DQ242" s="24"/>
      <c r="DR242" s="24"/>
      <c r="DS242" s="24"/>
      <c r="DT242" s="24"/>
      <c r="DU242" s="24"/>
      <c r="DV242" s="24"/>
      <c r="DW242" s="24"/>
      <c r="DX242" s="24"/>
      <c r="DY242" s="24"/>
      <c r="DZ242" s="24"/>
      <c r="EA242" s="24"/>
      <c r="EB242" s="24"/>
      <c r="EC242" s="24"/>
      <c r="ED242" s="24"/>
      <c r="EE242" s="24"/>
      <c r="EF242" s="24"/>
      <c r="EG242" s="24"/>
      <c r="EH242" s="24"/>
      <c r="EI242" s="24"/>
      <c r="EJ242" s="24"/>
      <c r="EK242" s="24"/>
      <c r="EL242" s="24"/>
      <c r="EM242" s="24"/>
      <c r="EN242" s="24"/>
      <c r="EO242" s="24"/>
      <c r="EP242" s="24"/>
      <c r="EQ242" s="24"/>
      <c r="ER242" s="24"/>
      <c r="ES242" s="24"/>
      <c r="ET242" s="24"/>
      <c r="EU242" s="24"/>
      <c r="EV242" s="24"/>
      <c r="EW242" s="24"/>
      <c r="EX242" s="24"/>
      <c r="EY242" s="24"/>
      <c r="EZ242" s="24"/>
      <c r="FA242" s="24"/>
      <c r="FB242" s="24"/>
      <c r="FC242" s="24"/>
      <c r="FD242" s="24"/>
      <c r="FE242" s="24"/>
      <c r="FF242" s="24"/>
      <c r="FG242" s="24"/>
      <c r="FH242" s="24"/>
      <c r="FI242" s="24"/>
      <c r="FJ242" s="24"/>
      <c r="FK242" s="24"/>
      <c r="FL242" s="24"/>
    </row>
    <row r="243" spans="1:168" ht="15.75" customHeight="1">
      <c r="A243" s="176"/>
      <c r="B243" s="177"/>
      <c r="C243" s="177"/>
      <c r="D243" s="177"/>
      <c r="E243" s="177"/>
      <c r="F243" s="177"/>
      <c r="G243" s="178"/>
      <c r="H243" s="179"/>
      <c r="J243" s="185"/>
      <c r="O243" s="182"/>
      <c r="P243" s="182"/>
      <c r="Q243" s="1"/>
      <c r="AC243" s="180"/>
      <c r="AD243" s="180"/>
      <c r="AE243" s="180"/>
      <c r="AJ243" s="191"/>
      <c r="BS243" s="181"/>
      <c r="CC243" s="24"/>
      <c r="CD243" s="24"/>
      <c r="CE243" s="24"/>
      <c r="CF243" s="24"/>
      <c r="CG243" s="24"/>
      <c r="CH243" s="24"/>
      <c r="CI243" s="24"/>
      <c r="CJ243" s="24"/>
      <c r="DE243" s="24"/>
      <c r="DF243" s="24"/>
      <c r="DG243" s="24"/>
      <c r="DH243" s="24"/>
      <c r="DI243" s="24"/>
      <c r="DJ243" s="24"/>
      <c r="DK243" s="24"/>
      <c r="DL243" s="24"/>
      <c r="DM243" s="24"/>
      <c r="DN243" s="24"/>
      <c r="DO243" s="24"/>
      <c r="DP243" s="24"/>
      <c r="DQ243" s="24"/>
      <c r="DR243" s="24"/>
      <c r="DS243" s="24"/>
      <c r="DT243" s="24"/>
      <c r="DU243" s="24"/>
      <c r="DV243" s="24"/>
      <c r="DW243" s="24"/>
      <c r="DX243" s="24"/>
      <c r="DY243" s="24"/>
      <c r="DZ243" s="24"/>
      <c r="EA243" s="24"/>
      <c r="EB243" s="24"/>
      <c r="EC243" s="24"/>
      <c r="ED243" s="24"/>
      <c r="EE243" s="24"/>
      <c r="EF243" s="24"/>
      <c r="EG243" s="24"/>
      <c r="EH243" s="24"/>
      <c r="EI243" s="24"/>
      <c r="EJ243" s="24"/>
      <c r="EK243" s="24"/>
      <c r="EL243" s="24"/>
      <c r="EM243" s="24"/>
      <c r="EN243" s="24"/>
      <c r="EO243" s="24"/>
      <c r="EP243" s="24"/>
      <c r="EQ243" s="24"/>
      <c r="ER243" s="24"/>
      <c r="ES243" s="24"/>
      <c r="ET243" s="24"/>
      <c r="EU243" s="24"/>
      <c r="EV243" s="24"/>
      <c r="EW243" s="24"/>
      <c r="EX243" s="24"/>
      <c r="EY243" s="24"/>
      <c r="EZ243" s="24"/>
      <c r="FA243" s="24"/>
      <c r="FB243" s="24"/>
      <c r="FC243" s="24"/>
      <c r="FD243" s="24"/>
      <c r="FE243" s="24"/>
      <c r="FF243" s="24"/>
      <c r="FG243" s="24"/>
      <c r="FH243" s="24"/>
      <c r="FI243" s="24"/>
      <c r="FJ243" s="24"/>
      <c r="FK243" s="24"/>
      <c r="FL243" s="24"/>
    </row>
    <row r="244" spans="1:168" ht="15.75" customHeight="1">
      <c r="A244" s="176"/>
      <c r="B244" s="177"/>
      <c r="C244" s="177"/>
      <c r="D244" s="177"/>
      <c r="E244" s="177"/>
      <c r="F244" s="177"/>
      <c r="G244" s="178"/>
      <c r="H244" s="179"/>
      <c r="J244" s="185"/>
      <c r="O244" s="182"/>
      <c r="P244" s="182"/>
      <c r="Q244" s="1"/>
      <c r="AC244" s="180"/>
      <c r="AD244" s="180"/>
      <c r="AE244" s="180"/>
      <c r="AJ244" s="191"/>
      <c r="BS244" s="181"/>
      <c r="CC244" s="24"/>
      <c r="CD244" s="24"/>
      <c r="CE244" s="24"/>
      <c r="CF244" s="24"/>
      <c r="CG244" s="24"/>
      <c r="CH244" s="24"/>
      <c r="CI244" s="24"/>
      <c r="CJ244" s="24"/>
      <c r="DE244" s="24"/>
      <c r="DF244" s="24"/>
      <c r="DG244" s="24"/>
      <c r="DH244" s="24"/>
      <c r="DI244" s="24"/>
      <c r="DJ244" s="24"/>
      <c r="DK244" s="24"/>
      <c r="DL244" s="24"/>
      <c r="DM244" s="24"/>
      <c r="DN244" s="24"/>
      <c r="DO244" s="24"/>
      <c r="DP244" s="24"/>
      <c r="DQ244" s="24"/>
      <c r="DR244" s="24"/>
      <c r="DS244" s="24"/>
      <c r="DT244" s="24"/>
      <c r="DU244" s="24"/>
      <c r="DV244" s="24"/>
      <c r="DW244" s="24"/>
      <c r="DX244" s="24"/>
      <c r="DY244" s="24"/>
      <c r="DZ244" s="24"/>
      <c r="EA244" s="24"/>
      <c r="EB244" s="24"/>
      <c r="EC244" s="24"/>
      <c r="ED244" s="24"/>
      <c r="EE244" s="24"/>
      <c r="EF244" s="24"/>
      <c r="EG244" s="24"/>
      <c r="EH244" s="24"/>
      <c r="EI244" s="24"/>
      <c r="EJ244" s="24"/>
      <c r="EK244" s="24"/>
      <c r="EL244" s="24"/>
      <c r="EM244" s="24"/>
      <c r="EN244" s="24"/>
      <c r="EO244" s="24"/>
      <c r="EP244" s="24"/>
      <c r="EQ244" s="24"/>
      <c r="ER244" s="24"/>
      <c r="ES244" s="24"/>
      <c r="ET244" s="24"/>
      <c r="EU244" s="24"/>
      <c r="EV244" s="24"/>
      <c r="EW244" s="24"/>
      <c r="EX244" s="24"/>
      <c r="EY244" s="24"/>
      <c r="EZ244" s="24"/>
      <c r="FA244" s="24"/>
      <c r="FB244" s="24"/>
      <c r="FC244" s="24"/>
      <c r="FD244" s="24"/>
      <c r="FE244" s="24"/>
      <c r="FF244" s="24"/>
      <c r="FG244" s="24"/>
      <c r="FH244" s="24"/>
      <c r="FI244" s="24"/>
      <c r="FJ244" s="24"/>
      <c r="FK244" s="24"/>
      <c r="FL244" s="24"/>
    </row>
    <row r="245" spans="1:168" ht="15.75" customHeight="1">
      <c r="A245" s="176"/>
      <c r="B245" s="177"/>
      <c r="C245" s="177"/>
      <c r="D245" s="177"/>
      <c r="E245" s="177"/>
      <c r="F245" s="177"/>
      <c r="G245" s="178"/>
      <c r="H245" s="179"/>
      <c r="J245" s="185"/>
      <c r="O245" s="182"/>
      <c r="P245" s="182"/>
      <c r="Q245" s="1"/>
      <c r="AC245" s="180"/>
      <c r="AD245" s="180"/>
      <c r="AE245" s="180"/>
      <c r="AJ245" s="191"/>
      <c r="BS245" s="181"/>
      <c r="CC245" s="24"/>
      <c r="CD245" s="24"/>
      <c r="CE245" s="24"/>
      <c r="CF245" s="24"/>
      <c r="CG245" s="24"/>
      <c r="CH245" s="24"/>
      <c r="CI245" s="24"/>
      <c r="CJ245" s="24"/>
      <c r="DE245" s="24"/>
      <c r="DF245" s="24"/>
      <c r="DG245" s="24"/>
      <c r="DH245" s="24"/>
      <c r="DI245" s="24"/>
      <c r="DJ245" s="24"/>
      <c r="DK245" s="24"/>
      <c r="DL245" s="24"/>
      <c r="DM245" s="24"/>
      <c r="DN245" s="24"/>
      <c r="DO245" s="24"/>
      <c r="DP245" s="24"/>
      <c r="DQ245" s="24"/>
      <c r="DR245" s="24"/>
      <c r="DS245" s="24"/>
      <c r="DT245" s="24"/>
      <c r="DU245" s="24"/>
      <c r="DV245" s="24"/>
      <c r="DW245" s="24"/>
      <c r="DX245" s="24"/>
      <c r="DY245" s="24"/>
      <c r="DZ245" s="24"/>
      <c r="EA245" s="24"/>
      <c r="EB245" s="24"/>
      <c r="EC245" s="24"/>
      <c r="ED245" s="24"/>
      <c r="EE245" s="24"/>
      <c r="EF245" s="24"/>
      <c r="EG245" s="24"/>
      <c r="EH245" s="24"/>
      <c r="EI245" s="24"/>
      <c r="EJ245" s="24"/>
      <c r="EK245" s="24"/>
      <c r="EL245" s="24"/>
      <c r="EM245" s="24"/>
      <c r="EN245" s="24"/>
      <c r="EO245" s="24"/>
      <c r="EP245" s="24"/>
      <c r="EQ245" s="24"/>
      <c r="ER245" s="24"/>
      <c r="ES245" s="24"/>
      <c r="ET245" s="24"/>
      <c r="EU245" s="24"/>
      <c r="EV245" s="24"/>
      <c r="EW245" s="24"/>
      <c r="EX245" s="24"/>
      <c r="EY245" s="24"/>
      <c r="EZ245" s="24"/>
      <c r="FA245" s="24"/>
      <c r="FB245" s="24"/>
      <c r="FC245" s="24"/>
      <c r="FD245" s="24"/>
      <c r="FE245" s="24"/>
      <c r="FF245" s="24"/>
      <c r="FG245" s="24"/>
      <c r="FH245" s="24"/>
      <c r="FI245" s="24"/>
      <c r="FJ245" s="24"/>
      <c r="FK245" s="24"/>
      <c r="FL245" s="24"/>
    </row>
    <row r="246" spans="1:168" ht="15.75" customHeight="1">
      <c r="A246" s="176"/>
      <c r="B246" s="177"/>
      <c r="C246" s="177"/>
      <c r="D246" s="177"/>
      <c r="E246" s="177"/>
      <c r="F246" s="177"/>
      <c r="G246" s="178"/>
      <c r="H246" s="179"/>
      <c r="J246" s="185"/>
      <c r="O246" s="182"/>
      <c r="P246" s="182"/>
      <c r="Q246" s="1"/>
      <c r="AC246" s="180"/>
      <c r="AD246" s="180"/>
      <c r="AE246" s="180"/>
      <c r="AJ246" s="191"/>
      <c r="BS246" s="181"/>
      <c r="CC246" s="24"/>
      <c r="CD246" s="24"/>
      <c r="CE246" s="24"/>
      <c r="CF246" s="24"/>
      <c r="CG246" s="24"/>
      <c r="CH246" s="24"/>
      <c r="CI246" s="24"/>
      <c r="CJ246" s="24"/>
      <c r="DE246" s="24"/>
      <c r="DF246" s="24"/>
      <c r="DG246" s="24"/>
      <c r="DH246" s="24"/>
      <c r="DI246" s="24"/>
      <c r="DJ246" s="24"/>
      <c r="DK246" s="24"/>
      <c r="DL246" s="24"/>
      <c r="DM246" s="24"/>
      <c r="DN246" s="24"/>
      <c r="DO246" s="24"/>
      <c r="DP246" s="24"/>
      <c r="DQ246" s="24"/>
      <c r="DR246" s="24"/>
      <c r="DS246" s="24"/>
      <c r="DT246" s="24"/>
      <c r="DU246" s="24"/>
      <c r="DV246" s="24"/>
      <c r="DW246" s="24"/>
      <c r="DX246" s="24"/>
      <c r="DY246" s="24"/>
      <c r="DZ246" s="24"/>
      <c r="EA246" s="24"/>
      <c r="EB246" s="24"/>
      <c r="EC246" s="24"/>
      <c r="ED246" s="24"/>
      <c r="EE246" s="24"/>
      <c r="EF246" s="24"/>
      <c r="EG246" s="24"/>
      <c r="EH246" s="24"/>
      <c r="EI246" s="24"/>
      <c r="EJ246" s="24"/>
      <c r="EK246" s="24"/>
      <c r="EL246" s="24"/>
      <c r="EM246" s="24"/>
      <c r="EN246" s="24"/>
      <c r="EO246" s="24"/>
      <c r="EP246" s="24"/>
      <c r="EQ246" s="24"/>
      <c r="ER246" s="24"/>
      <c r="ES246" s="24"/>
      <c r="ET246" s="24"/>
      <c r="EU246" s="24"/>
      <c r="EV246" s="24"/>
      <c r="EW246" s="24"/>
      <c r="EX246" s="24"/>
      <c r="EY246" s="24"/>
      <c r="EZ246" s="24"/>
      <c r="FA246" s="24"/>
      <c r="FB246" s="24"/>
      <c r="FC246" s="24"/>
      <c r="FD246" s="24"/>
      <c r="FE246" s="24"/>
      <c r="FF246" s="24"/>
      <c r="FG246" s="24"/>
      <c r="FH246" s="24"/>
      <c r="FI246" s="24"/>
      <c r="FJ246" s="24"/>
      <c r="FK246" s="24"/>
      <c r="FL246" s="24"/>
    </row>
    <row r="247" spans="1:168" ht="15.75" customHeight="1">
      <c r="A247" s="176"/>
      <c r="B247" s="177"/>
      <c r="C247" s="177"/>
      <c r="D247" s="177"/>
      <c r="E247" s="177"/>
      <c r="F247" s="177"/>
      <c r="G247" s="178"/>
      <c r="H247" s="179"/>
      <c r="J247" s="185"/>
      <c r="O247" s="182"/>
      <c r="P247" s="182"/>
      <c r="Q247" s="1"/>
      <c r="AC247" s="180"/>
      <c r="AD247" s="180"/>
      <c r="AE247" s="180"/>
      <c r="AJ247" s="191"/>
      <c r="BS247" s="181"/>
      <c r="CC247" s="24"/>
      <c r="CD247" s="24"/>
      <c r="CE247" s="24"/>
      <c r="CF247" s="24"/>
      <c r="CG247" s="24"/>
      <c r="CH247" s="24"/>
      <c r="CI247" s="24"/>
      <c r="CJ247" s="24"/>
      <c r="DE247" s="24"/>
      <c r="DF247" s="24"/>
      <c r="DG247" s="24"/>
      <c r="DH247" s="24"/>
      <c r="DI247" s="24"/>
      <c r="DJ247" s="24"/>
      <c r="DK247" s="24"/>
      <c r="DL247" s="24"/>
      <c r="DM247" s="24"/>
      <c r="DN247" s="24"/>
      <c r="DO247" s="24"/>
      <c r="DP247" s="24"/>
      <c r="DQ247" s="24"/>
      <c r="DR247" s="24"/>
      <c r="DS247" s="24"/>
      <c r="DT247" s="24"/>
      <c r="DU247" s="24"/>
      <c r="DV247" s="24"/>
      <c r="DW247" s="24"/>
      <c r="DX247" s="24"/>
      <c r="DY247" s="24"/>
      <c r="DZ247" s="24"/>
      <c r="EA247" s="24"/>
      <c r="EB247" s="24"/>
      <c r="EC247" s="24"/>
      <c r="ED247" s="24"/>
      <c r="EE247" s="24"/>
      <c r="EF247" s="24"/>
      <c r="EG247" s="24"/>
      <c r="EH247" s="24"/>
      <c r="EI247" s="24"/>
      <c r="EJ247" s="24"/>
      <c r="EK247" s="24"/>
      <c r="EL247" s="24"/>
      <c r="EM247" s="24"/>
      <c r="EN247" s="24"/>
      <c r="EO247" s="24"/>
      <c r="EP247" s="24"/>
      <c r="EQ247" s="24"/>
      <c r="ER247" s="24"/>
      <c r="ES247" s="24"/>
      <c r="ET247" s="24"/>
      <c r="EU247" s="24"/>
      <c r="EV247" s="24"/>
      <c r="EW247" s="24"/>
      <c r="EX247" s="24"/>
      <c r="EY247" s="24"/>
      <c r="EZ247" s="24"/>
      <c r="FA247" s="24"/>
      <c r="FB247" s="24"/>
      <c r="FC247" s="24"/>
      <c r="FD247" s="24"/>
      <c r="FE247" s="24"/>
      <c r="FF247" s="24"/>
      <c r="FG247" s="24"/>
      <c r="FH247" s="24"/>
      <c r="FI247" s="24"/>
      <c r="FJ247" s="24"/>
      <c r="FK247" s="24"/>
      <c r="FL247" s="24"/>
    </row>
    <row r="248" spans="1:168" ht="15.75" customHeight="1">
      <c r="A248" s="176"/>
      <c r="B248" s="177"/>
      <c r="C248" s="177"/>
      <c r="D248" s="177"/>
      <c r="E248" s="177"/>
      <c r="F248" s="177"/>
      <c r="G248" s="178"/>
      <c r="H248" s="179"/>
      <c r="J248" s="185"/>
      <c r="O248" s="182"/>
      <c r="P248" s="182"/>
      <c r="Q248" s="1"/>
      <c r="AC248" s="180"/>
      <c r="AD248" s="180"/>
      <c r="AE248" s="180"/>
      <c r="AJ248" s="191"/>
      <c r="BS248" s="181"/>
      <c r="CC248" s="24"/>
      <c r="CD248" s="24"/>
      <c r="CE248" s="24"/>
      <c r="CF248" s="24"/>
      <c r="CG248" s="24"/>
      <c r="CH248" s="24"/>
      <c r="CI248" s="24"/>
      <c r="CJ248" s="24"/>
      <c r="DE248" s="24"/>
      <c r="DF248" s="24"/>
      <c r="DG248" s="24"/>
      <c r="DH248" s="24"/>
      <c r="DI248" s="24"/>
      <c r="DJ248" s="24"/>
      <c r="DK248" s="24"/>
      <c r="DL248" s="24"/>
      <c r="DM248" s="24"/>
      <c r="DN248" s="24"/>
      <c r="DO248" s="24"/>
      <c r="DP248" s="24"/>
      <c r="DQ248" s="24"/>
      <c r="DR248" s="24"/>
      <c r="DS248" s="24"/>
      <c r="DT248" s="24"/>
      <c r="DU248" s="24"/>
      <c r="DV248" s="24"/>
      <c r="DW248" s="24"/>
      <c r="DX248" s="24"/>
      <c r="DY248" s="24"/>
      <c r="DZ248" s="24"/>
      <c r="EA248" s="24"/>
      <c r="EB248" s="24"/>
      <c r="EC248" s="24"/>
      <c r="ED248" s="24"/>
      <c r="EE248" s="24"/>
      <c r="EF248" s="24"/>
      <c r="EG248" s="24"/>
      <c r="EH248" s="24"/>
      <c r="EI248" s="24"/>
      <c r="EJ248" s="24"/>
      <c r="EK248" s="24"/>
      <c r="EL248" s="24"/>
      <c r="EM248" s="24"/>
      <c r="EN248" s="24"/>
      <c r="EO248" s="24"/>
      <c r="EP248" s="24"/>
      <c r="EQ248" s="24"/>
      <c r="ER248" s="24"/>
      <c r="ES248" s="24"/>
      <c r="ET248" s="24"/>
      <c r="EU248" s="24"/>
      <c r="EV248" s="24"/>
      <c r="EW248" s="24"/>
      <c r="EX248" s="24"/>
      <c r="EY248" s="24"/>
      <c r="EZ248" s="24"/>
      <c r="FA248" s="24"/>
      <c r="FB248" s="24"/>
      <c r="FC248" s="24"/>
      <c r="FD248" s="24"/>
      <c r="FE248" s="24"/>
      <c r="FF248" s="24"/>
      <c r="FG248" s="24"/>
      <c r="FH248" s="24"/>
      <c r="FI248" s="24"/>
      <c r="FJ248" s="24"/>
      <c r="FK248" s="24"/>
      <c r="FL248" s="24"/>
    </row>
    <row r="249" spans="1:168" ht="15.75" customHeight="1">
      <c r="A249" s="176"/>
      <c r="B249" s="177"/>
      <c r="C249" s="177"/>
      <c r="D249" s="177"/>
      <c r="E249" s="177"/>
      <c r="F249" s="177"/>
      <c r="G249" s="178"/>
      <c r="H249" s="179"/>
      <c r="J249" s="185"/>
      <c r="O249" s="182"/>
      <c r="P249" s="182"/>
      <c r="Q249" s="1"/>
      <c r="AC249" s="180"/>
      <c r="AD249" s="180"/>
      <c r="AE249" s="180"/>
      <c r="AJ249" s="191"/>
      <c r="BS249" s="181"/>
      <c r="CC249" s="24"/>
      <c r="CD249" s="24"/>
      <c r="CE249" s="24"/>
      <c r="CF249" s="24"/>
      <c r="CG249" s="24"/>
      <c r="CH249" s="24"/>
      <c r="CI249" s="24"/>
      <c r="CJ249" s="24"/>
      <c r="DE249" s="24"/>
      <c r="DF249" s="24"/>
      <c r="DG249" s="24"/>
      <c r="DH249" s="24"/>
      <c r="DI249" s="24"/>
      <c r="DJ249" s="24"/>
      <c r="DK249" s="24"/>
      <c r="DL249" s="24"/>
      <c r="DM249" s="24"/>
      <c r="DN249" s="24"/>
      <c r="DO249" s="24"/>
      <c r="DP249" s="24"/>
      <c r="DQ249" s="24"/>
      <c r="DR249" s="24"/>
      <c r="DS249" s="24"/>
      <c r="DT249" s="24"/>
      <c r="DU249" s="24"/>
      <c r="DV249" s="24"/>
      <c r="DW249" s="24"/>
      <c r="DX249" s="24"/>
      <c r="DY249" s="24"/>
      <c r="DZ249" s="24"/>
      <c r="EA249" s="24"/>
      <c r="EB249" s="24"/>
      <c r="EC249" s="24"/>
      <c r="ED249" s="24"/>
      <c r="EE249" s="24"/>
      <c r="EF249" s="24"/>
      <c r="EG249" s="24"/>
      <c r="EH249" s="24"/>
      <c r="EI249" s="24"/>
      <c r="EJ249" s="24"/>
      <c r="EK249" s="24"/>
      <c r="EL249" s="24"/>
      <c r="EM249" s="24"/>
      <c r="EN249" s="24"/>
      <c r="EO249" s="24"/>
      <c r="EP249" s="24"/>
      <c r="EQ249" s="24"/>
      <c r="ER249" s="24"/>
      <c r="ES249" s="24"/>
      <c r="ET249" s="24"/>
      <c r="EU249" s="24"/>
      <c r="EV249" s="24"/>
      <c r="EW249" s="24"/>
      <c r="EX249" s="24"/>
      <c r="EY249" s="24"/>
      <c r="EZ249" s="24"/>
      <c r="FA249" s="24"/>
      <c r="FB249" s="24"/>
      <c r="FC249" s="24"/>
      <c r="FD249" s="24"/>
      <c r="FE249" s="24"/>
      <c r="FF249" s="24"/>
      <c r="FG249" s="24"/>
      <c r="FH249" s="24"/>
      <c r="FI249" s="24"/>
      <c r="FJ249" s="24"/>
      <c r="FK249" s="24"/>
      <c r="FL249" s="24"/>
    </row>
    <row r="250" spans="1:168" ht="15.75" customHeight="1">
      <c r="A250" s="176"/>
      <c r="B250" s="177"/>
      <c r="C250" s="177"/>
      <c r="D250" s="177"/>
      <c r="E250" s="177"/>
      <c r="F250" s="177"/>
      <c r="G250" s="178"/>
      <c r="H250" s="179"/>
      <c r="J250" s="185"/>
      <c r="O250" s="182"/>
      <c r="P250" s="182"/>
      <c r="Q250" s="1"/>
      <c r="AC250" s="180"/>
      <c r="AD250" s="180"/>
      <c r="AE250" s="180"/>
      <c r="AJ250" s="191"/>
      <c r="BS250" s="181"/>
      <c r="CC250" s="24"/>
      <c r="CD250" s="24"/>
      <c r="CE250" s="24"/>
      <c r="CF250" s="24"/>
      <c r="CG250" s="24"/>
      <c r="CH250" s="24"/>
      <c r="CI250" s="24"/>
      <c r="CJ250" s="24"/>
      <c r="DE250" s="24"/>
      <c r="DF250" s="24"/>
      <c r="DG250" s="24"/>
      <c r="DH250" s="24"/>
      <c r="DI250" s="24"/>
      <c r="DJ250" s="24"/>
      <c r="DK250" s="24"/>
      <c r="DL250" s="24"/>
      <c r="DM250" s="24"/>
      <c r="DN250" s="24"/>
      <c r="DO250" s="24"/>
      <c r="DP250" s="24"/>
      <c r="DQ250" s="24"/>
      <c r="DR250" s="24"/>
      <c r="DS250" s="24"/>
      <c r="DT250" s="24"/>
      <c r="DU250" s="24"/>
      <c r="DV250" s="24"/>
      <c r="DW250" s="24"/>
      <c r="DX250" s="24"/>
      <c r="DY250" s="24"/>
      <c r="DZ250" s="24"/>
      <c r="EA250" s="24"/>
      <c r="EB250" s="24"/>
      <c r="EC250" s="24"/>
      <c r="ED250" s="24"/>
      <c r="EE250" s="24"/>
      <c r="EF250" s="24"/>
      <c r="EG250" s="24"/>
      <c r="EH250" s="24"/>
      <c r="EI250" s="24"/>
      <c r="EJ250" s="24"/>
      <c r="EK250" s="24"/>
      <c r="EL250" s="24"/>
      <c r="EM250" s="24"/>
      <c r="EN250" s="24"/>
      <c r="EO250" s="24"/>
      <c r="EP250" s="24"/>
      <c r="EQ250" s="24"/>
      <c r="ER250" s="24"/>
      <c r="ES250" s="24"/>
      <c r="ET250" s="24"/>
      <c r="EU250" s="24"/>
      <c r="EV250" s="24"/>
      <c r="EW250" s="24"/>
      <c r="EX250" s="24"/>
      <c r="EY250" s="24"/>
      <c r="EZ250" s="24"/>
      <c r="FA250" s="24"/>
      <c r="FB250" s="24"/>
      <c r="FC250" s="24"/>
      <c r="FD250" s="24"/>
      <c r="FE250" s="24"/>
      <c r="FF250" s="24"/>
      <c r="FG250" s="24"/>
      <c r="FH250" s="24"/>
      <c r="FI250" s="24"/>
      <c r="FJ250" s="24"/>
      <c r="FK250" s="24"/>
      <c r="FL250" s="24"/>
    </row>
    <row r="251" spans="1:168" ht="15.75" customHeight="1">
      <c r="A251" s="176"/>
      <c r="B251" s="177"/>
      <c r="C251" s="177"/>
      <c r="D251" s="177"/>
      <c r="E251" s="177"/>
      <c r="F251" s="177"/>
      <c r="G251" s="178"/>
      <c r="H251" s="179"/>
      <c r="J251" s="185"/>
      <c r="O251" s="182"/>
      <c r="P251" s="182"/>
      <c r="Q251" s="1"/>
      <c r="AC251" s="180"/>
      <c r="AD251" s="180"/>
      <c r="AE251" s="180"/>
      <c r="AJ251" s="191"/>
      <c r="BS251" s="181"/>
      <c r="CC251" s="24"/>
      <c r="CD251" s="24"/>
      <c r="CE251" s="24"/>
      <c r="CF251" s="24"/>
      <c r="CG251" s="24"/>
      <c r="CH251" s="24"/>
      <c r="CI251" s="24"/>
      <c r="CJ251" s="24"/>
      <c r="DE251" s="24"/>
      <c r="DF251" s="24"/>
      <c r="DG251" s="24"/>
      <c r="DH251" s="24"/>
      <c r="DI251" s="24"/>
      <c r="DJ251" s="24"/>
      <c r="DK251" s="24"/>
      <c r="DL251" s="24"/>
      <c r="DM251" s="24"/>
      <c r="DN251" s="24"/>
      <c r="DO251" s="24"/>
      <c r="DP251" s="24"/>
      <c r="DQ251" s="24"/>
      <c r="DR251" s="24"/>
      <c r="DS251" s="24"/>
      <c r="DT251" s="24"/>
      <c r="DU251" s="24"/>
      <c r="DV251" s="24"/>
      <c r="DW251" s="24"/>
      <c r="DX251" s="24"/>
      <c r="DY251" s="24"/>
      <c r="DZ251" s="24"/>
      <c r="EA251" s="24"/>
      <c r="EB251" s="24"/>
      <c r="EC251" s="24"/>
      <c r="ED251" s="24"/>
      <c r="EE251" s="24"/>
      <c r="EF251" s="24"/>
      <c r="EG251" s="24"/>
      <c r="EH251" s="24"/>
      <c r="EI251" s="24"/>
      <c r="EJ251" s="24"/>
      <c r="EK251" s="24"/>
      <c r="EL251" s="24"/>
      <c r="EM251" s="24"/>
      <c r="EN251" s="24"/>
      <c r="EO251" s="24"/>
      <c r="EP251" s="24"/>
      <c r="EQ251" s="24"/>
      <c r="ER251" s="24"/>
      <c r="ES251" s="24"/>
      <c r="ET251" s="24"/>
      <c r="EU251" s="24"/>
      <c r="EV251" s="24"/>
      <c r="EW251" s="24"/>
      <c r="EX251" s="24"/>
      <c r="EY251" s="24"/>
      <c r="EZ251" s="24"/>
      <c r="FA251" s="24"/>
      <c r="FB251" s="24"/>
      <c r="FC251" s="24"/>
      <c r="FD251" s="24"/>
      <c r="FE251" s="24"/>
      <c r="FF251" s="24"/>
      <c r="FG251" s="24"/>
      <c r="FH251" s="24"/>
      <c r="FI251" s="24"/>
      <c r="FJ251" s="24"/>
      <c r="FK251" s="24"/>
      <c r="FL251" s="24"/>
    </row>
    <row r="252" spans="1:168" ht="15.75" customHeight="1">
      <c r="A252" s="176"/>
      <c r="B252" s="177"/>
      <c r="C252" s="177"/>
      <c r="D252" s="177"/>
      <c r="E252" s="177"/>
      <c r="F252" s="177"/>
      <c r="G252" s="178"/>
      <c r="H252" s="179"/>
      <c r="J252" s="185"/>
      <c r="O252" s="182"/>
      <c r="P252" s="182"/>
      <c r="Q252" s="1"/>
      <c r="AC252" s="180"/>
      <c r="AD252" s="180"/>
      <c r="AE252" s="180"/>
      <c r="AJ252" s="191"/>
      <c r="BS252" s="181"/>
      <c r="CC252" s="24"/>
      <c r="CD252" s="24"/>
      <c r="CE252" s="24"/>
      <c r="CF252" s="24"/>
      <c r="CG252" s="24"/>
      <c r="CH252" s="24"/>
      <c r="CI252" s="24"/>
      <c r="CJ252" s="24"/>
      <c r="DE252" s="24"/>
      <c r="DF252" s="24"/>
      <c r="DG252" s="24"/>
      <c r="DH252" s="24"/>
      <c r="DI252" s="24"/>
      <c r="DJ252" s="24"/>
      <c r="DK252" s="24"/>
      <c r="DL252" s="24"/>
      <c r="DM252" s="24"/>
      <c r="DN252" s="24"/>
      <c r="DO252" s="24"/>
      <c r="DP252" s="24"/>
      <c r="DQ252" s="24"/>
      <c r="DR252" s="24"/>
      <c r="DS252" s="24"/>
      <c r="DT252" s="24"/>
      <c r="DU252" s="24"/>
      <c r="DV252" s="24"/>
      <c r="DW252" s="24"/>
      <c r="DX252" s="24"/>
      <c r="DY252" s="24"/>
      <c r="DZ252" s="24"/>
      <c r="EA252" s="24"/>
      <c r="EB252" s="24"/>
      <c r="EC252" s="24"/>
      <c r="ED252" s="24"/>
      <c r="EE252" s="24"/>
      <c r="EF252" s="24"/>
      <c r="EG252" s="24"/>
      <c r="EH252" s="24"/>
      <c r="EI252" s="24"/>
      <c r="EJ252" s="24"/>
      <c r="EK252" s="24"/>
      <c r="EL252" s="24"/>
      <c r="EM252" s="24"/>
      <c r="EN252" s="24"/>
      <c r="EO252" s="24"/>
      <c r="EP252" s="24"/>
      <c r="EQ252" s="24"/>
      <c r="ER252" s="24"/>
      <c r="ES252" s="24"/>
      <c r="ET252" s="24"/>
      <c r="EU252" s="24"/>
      <c r="EV252" s="24"/>
      <c r="EW252" s="24"/>
      <c r="EX252" s="24"/>
      <c r="EY252" s="24"/>
      <c r="EZ252" s="24"/>
      <c r="FA252" s="24"/>
      <c r="FB252" s="24"/>
      <c r="FC252" s="24"/>
      <c r="FD252" s="24"/>
      <c r="FE252" s="24"/>
      <c r="FF252" s="24"/>
      <c r="FG252" s="24"/>
      <c r="FH252" s="24"/>
      <c r="FI252" s="24"/>
      <c r="FJ252" s="24"/>
      <c r="FK252" s="24"/>
      <c r="FL252" s="24"/>
    </row>
    <row r="253" spans="1:168" ht="15.75" customHeight="1">
      <c r="A253" s="176"/>
      <c r="B253" s="177"/>
      <c r="C253" s="177"/>
      <c r="D253" s="177"/>
      <c r="E253" s="177"/>
      <c r="F253" s="177"/>
      <c r="G253" s="178"/>
      <c r="H253" s="179"/>
      <c r="J253" s="185"/>
      <c r="O253" s="182"/>
      <c r="P253" s="182"/>
      <c r="Q253" s="1"/>
      <c r="AC253" s="180"/>
      <c r="AD253" s="180"/>
      <c r="AE253" s="180"/>
      <c r="AJ253" s="191"/>
      <c r="BS253" s="181"/>
      <c r="CC253" s="24"/>
      <c r="CD253" s="24"/>
      <c r="CE253" s="24"/>
      <c r="CF253" s="24"/>
      <c r="CG253" s="24"/>
      <c r="CH253" s="24"/>
      <c r="CI253" s="24"/>
      <c r="CJ253" s="24"/>
      <c r="DE253" s="24"/>
      <c r="DF253" s="24"/>
      <c r="DG253" s="24"/>
      <c r="DH253" s="24"/>
      <c r="DI253" s="24"/>
      <c r="DJ253" s="24"/>
      <c r="DK253" s="24"/>
      <c r="DL253" s="24"/>
      <c r="DM253" s="24"/>
      <c r="DN253" s="24"/>
      <c r="DO253" s="24"/>
      <c r="DP253" s="24"/>
      <c r="DQ253" s="24"/>
      <c r="DR253" s="24"/>
      <c r="DS253" s="24"/>
      <c r="DT253" s="24"/>
      <c r="DU253" s="24"/>
      <c r="DV253" s="24"/>
      <c r="DW253" s="24"/>
      <c r="DX253" s="24"/>
      <c r="DY253" s="24"/>
      <c r="DZ253" s="24"/>
      <c r="EA253" s="24"/>
      <c r="EB253" s="24"/>
      <c r="EC253" s="24"/>
      <c r="ED253" s="24"/>
      <c r="EE253" s="24"/>
      <c r="EF253" s="24"/>
      <c r="EG253" s="24"/>
      <c r="EH253" s="24"/>
      <c r="EI253" s="24"/>
      <c r="EJ253" s="24"/>
      <c r="EK253" s="24"/>
      <c r="EL253" s="24"/>
      <c r="EM253" s="24"/>
      <c r="EN253" s="24"/>
      <c r="EO253" s="24"/>
      <c r="EP253" s="24"/>
      <c r="EQ253" s="24"/>
      <c r="ER253" s="24"/>
      <c r="ES253" s="24"/>
      <c r="ET253" s="24"/>
      <c r="EU253" s="24"/>
      <c r="EV253" s="24"/>
      <c r="EW253" s="24"/>
      <c r="EX253" s="24"/>
      <c r="EY253" s="24"/>
      <c r="EZ253" s="24"/>
      <c r="FA253" s="24"/>
      <c r="FB253" s="24"/>
      <c r="FC253" s="24"/>
      <c r="FD253" s="24"/>
      <c r="FE253" s="24"/>
      <c r="FF253" s="24"/>
      <c r="FG253" s="24"/>
      <c r="FH253" s="24"/>
      <c r="FI253" s="24"/>
      <c r="FJ253" s="24"/>
      <c r="FK253" s="24"/>
      <c r="FL253" s="24"/>
    </row>
    <row r="254" spans="1:168" ht="15.75" customHeight="1">
      <c r="A254" s="176"/>
      <c r="B254" s="177"/>
      <c r="C254" s="177"/>
      <c r="D254" s="177"/>
      <c r="E254" s="177"/>
      <c r="F254" s="177"/>
      <c r="G254" s="178"/>
      <c r="H254" s="179"/>
      <c r="J254" s="185"/>
      <c r="O254" s="182"/>
      <c r="P254" s="182"/>
      <c r="Q254" s="1"/>
      <c r="AC254" s="180"/>
      <c r="AD254" s="180"/>
      <c r="AE254" s="180"/>
      <c r="AJ254" s="191"/>
      <c r="BS254" s="181"/>
      <c r="CC254" s="24"/>
      <c r="CD254" s="24"/>
      <c r="CE254" s="24"/>
      <c r="CF254" s="24"/>
      <c r="CG254" s="24"/>
      <c r="CH254" s="24"/>
      <c r="CI254" s="24"/>
      <c r="CJ254" s="24"/>
      <c r="DE254" s="24"/>
      <c r="DF254" s="24"/>
      <c r="DG254" s="24"/>
      <c r="DH254" s="24"/>
      <c r="DI254" s="24"/>
      <c r="DJ254" s="24"/>
      <c r="DK254" s="24"/>
      <c r="DL254" s="24"/>
      <c r="DM254" s="24"/>
      <c r="DN254" s="24"/>
      <c r="DO254" s="24"/>
      <c r="DP254" s="24"/>
      <c r="DQ254" s="24"/>
      <c r="DR254" s="24"/>
      <c r="DS254" s="24"/>
      <c r="DT254" s="24"/>
      <c r="DU254" s="24"/>
      <c r="DV254" s="24"/>
      <c r="DW254" s="24"/>
      <c r="DX254" s="24"/>
      <c r="DY254" s="24"/>
      <c r="DZ254" s="24"/>
      <c r="EA254" s="24"/>
      <c r="EB254" s="24"/>
      <c r="EC254" s="24"/>
      <c r="ED254" s="24"/>
      <c r="EE254" s="24"/>
      <c r="EF254" s="24"/>
      <c r="EG254" s="24"/>
      <c r="EH254" s="24"/>
      <c r="EI254" s="24"/>
      <c r="EJ254" s="24"/>
      <c r="EK254" s="24"/>
      <c r="EL254" s="24"/>
      <c r="EM254" s="24"/>
      <c r="EN254" s="24"/>
      <c r="EO254" s="24"/>
      <c r="EP254" s="24"/>
      <c r="EQ254" s="24"/>
      <c r="ER254" s="24"/>
      <c r="ES254" s="24"/>
      <c r="ET254" s="24"/>
      <c r="EU254" s="24"/>
      <c r="EV254" s="24"/>
      <c r="EW254" s="24"/>
      <c r="EX254" s="24"/>
      <c r="EY254" s="24"/>
      <c r="EZ254" s="24"/>
      <c r="FA254" s="24"/>
      <c r="FB254" s="24"/>
      <c r="FC254" s="24"/>
      <c r="FD254" s="24"/>
      <c r="FE254" s="24"/>
      <c r="FF254" s="24"/>
      <c r="FG254" s="24"/>
      <c r="FH254" s="24"/>
      <c r="FI254" s="24"/>
      <c r="FJ254" s="24"/>
      <c r="FK254" s="24"/>
      <c r="FL254" s="24"/>
    </row>
    <row r="255" spans="1:168" ht="15.75" customHeight="1">
      <c r="A255" s="176"/>
      <c r="B255" s="177"/>
      <c r="C255" s="177"/>
      <c r="D255" s="177"/>
      <c r="E255" s="177"/>
      <c r="F255" s="177"/>
      <c r="G255" s="178"/>
      <c r="H255" s="179"/>
      <c r="J255" s="185"/>
      <c r="O255" s="182"/>
      <c r="P255" s="182"/>
      <c r="Q255" s="1"/>
      <c r="AC255" s="180"/>
      <c r="AD255" s="180"/>
      <c r="AE255" s="180"/>
      <c r="AJ255" s="191"/>
      <c r="BS255" s="181"/>
      <c r="CC255" s="24"/>
      <c r="CD255" s="24"/>
      <c r="CE255" s="24"/>
      <c r="CF255" s="24"/>
      <c r="CG255" s="24"/>
      <c r="CH255" s="24"/>
      <c r="CI255" s="24"/>
      <c r="CJ255" s="24"/>
      <c r="DE255" s="24"/>
      <c r="DF255" s="24"/>
      <c r="DG255" s="24"/>
      <c r="DH255" s="24"/>
      <c r="DI255" s="24"/>
      <c r="DJ255" s="24"/>
      <c r="DK255" s="24"/>
      <c r="DL255" s="24"/>
      <c r="DM255" s="24"/>
      <c r="DN255" s="24"/>
      <c r="DO255" s="24"/>
      <c r="DP255" s="24"/>
      <c r="DQ255" s="24"/>
      <c r="DR255" s="24"/>
      <c r="DS255" s="24"/>
      <c r="DT255" s="24"/>
      <c r="DU255" s="24"/>
      <c r="DV255" s="24"/>
      <c r="DW255" s="24"/>
      <c r="DX255" s="24"/>
      <c r="DY255" s="24"/>
      <c r="DZ255" s="24"/>
      <c r="EA255" s="24"/>
      <c r="EB255" s="24"/>
      <c r="EC255" s="24"/>
      <c r="ED255" s="24"/>
      <c r="EE255" s="24"/>
      <c r="EF255" s="24"/>
      <c r="EG255" s="24"/>
      <c r="EH255" s="24"/>
      <c r="EI255" s="24"/>
      <c r="EJ255" s="24"/>
      <c r="EK255" s="24"/>
      <c r="EL255" s="24"/>
      <c r="EM255" s="24"/>
      <c r="EN255" s="24"/>
      <c r="EO255" s="24"/>
      <c r="EP255" s="24"/>
      <c r="EQ255" s="24"/>
      <c r="ER255" s="24"/>
      <c r="ES255" s="24"/>
      <c r="ET255" s="24"/>
      <c r="EU255" s="24"/>
      <c r="EV255" s="24"/>
      <c r="EW255" s="24"/>
      <c r="EX255" s="24"/>
      <c r="EY255" s="24"/>
      <c r="EZ255" s="24"/>
      <c r="FA255" s="24"/>
      <c r="FB255" s="24"/>
      <c r="FC255" s="24"/>
      <c r="FD255" s="24"/>
      <c r="FE255" s="24"/>
      <c r="FF255" s="24"/>
      <c r="FG255" s="24"/>
      <c r="FH255" s="24"/>
      <c r="FI255" s="24"/>
      <c r="FJ255" s="24"/>
      <c r="FK255" s="24"/>
      <c r="FL255" s="24"/>
    </row>
    <row r="256" spans="1:168" ht="15.75" customHeight="1">
      <c r="A256" s="176"/>
      <c r="B256" s="177"/>
      <c r="C256" s="177"/>
      <c r="D256" s="177"/>
      <c r="E256" s="177"/>
      <c r="F256" s="177"/>
      <c r="G256" s="178"/>
      <c r="H256" s="179"/>
      <c r="J256" s="185"/>
      <c r="O256" s="182"/>
      <c r="P256" s="182"/>
      <c r="Q256" s="1"/>
      <c r="AC256" s="180"/>
      <c r="AD256" s="180"/>
      <c r="AE256" s="180"/>
      <c r="AJ256" s="191"/>
      <c r="BS256" s="181"/>
      <c r="CC256" s="24"/>
      <c r="CD256" s="24"/>
      <c r="CE256" s="24"/>
      <c r="CF256" s="24"/>
      <c r="CG256" s="24"/>
      <c r="CH256" s="24"/>
      <c r="CI256" s="24"/>
      <c r="CJ256" s="24"/>
      <c r="DE256" s="24"/>
      <c r="DF256" s="24"/>
      <c r="DG256" s="24"/>
      <c r="DH256" s="24"/>
      <c r="DI256" s="24"/>
      <c r="DJ256" s="24"/>
      <c r="DK256" s="24"/>
      <c r="DL256" s="24"/>
      <c r="DM256" s="24"/>
      <c r="DN256" s="24"/>
      <c r="DO256" s="24"/>
      <c r="DP256" s="24"/>
      <c r="DQ256" s="24"/>
      <c r="DR256" s="24"/>
      <c r="DS256" s="24"/>
      <c r="DT256" s="24"/>
      <c r="DU256" s="24"/>
      <c r="DV256" s="24"/>
      <c r="DW256" s="24"/>
      <c r="DX256" s="24"/>
      <c r="DY256" s="24"/>
      <c r="DZ256" s="24"/>
      <c r="EA256" s="24"/>
      <c r="EB256" s="24"/>
      <c r="EC256" s="24"/>
      <c r="ED256" s="24"/>
      <c r="EE256" s="24"/>
      <c r="EF256" s="24"/>
      <c r="EG256" s="24"/>
      <c r="EH256" s="24"/>
      <c r="EI256" s="24"/>
      <c r="EJ256" s="24"/>
      <c r="EK256" s="24"/>
      <c r="EL256" s="24"/>
      <c r="EM256" s="24"/>
      <c r="EN256" s="24"/>
      <c r="EO256" s="24"/>
      <c r="EP256" s="24"/>
      <c r="EQ256" s="24"/>
      <c r="ER256" s="24"/>
      <c r="ES256" s="24"/>
      <c r="ET256" s="24"/>
      <c r="EU256" s="24"/>
      <c r="EV256" s="24"/>
      <c r="EW256" s="24"/>
      <c r="EX256" s="24"/>
      <c r="EY256" s="24"/>
      <c r="EZ256" s="24"/>
      <c r="FA256" s="24"/>
      <c r="FB256" s="24"/>
      <c r="FC256" s="24"/>
      <c r="FD256" s="24"/>
      <c r="FE256" s="24"/>
      <c r="FF256" s="24"/>
      <c r="FG256" s="24"/>
      <c r="FH256" s="24"/>
      <c r="FI256" s="24"/>
      <c r="FJ256" s="24"/>
      <c r="FK256" s="24"/>
      <c r="FL256" s="24"/>
    </row>
    <row r="257" spans="1:168" ht="15.75" customHeight="1">
      <c r="A257" s="176"/>
      <c r="B257" s="177"/>
      <c r="C257" s="177"/>
      <c r="D257" s="177"/>
      <c r="E257" s="177"/>
      <c r="F257" s="177"/>
      <c r="G257" s="178"/>
      <c r="H257" s="179"/>
      <c r="J257" s="185"/>
      <c r="O257" s="182"/>
      <c r="P257" s="182"/>
      <c r="Q257" s="1"/>
      <c r="AC257" s="180"/>
      <c r="AD257" s="180"/>
      <c r="AE257" s="180"/>
      <c r="AJ257" s="191"/>
      <c r="BS257" s="181"/>
      <c r="CC257" s="24"/>
      <c r="CD257" s="24"/>
      <c r="CE257" s="24"/>
      <c r="CF257" s="24"/>
      <c r="CG257" s="24"/>
      <c r="CH257" s="24"/>
      <c r="CI257" s="24"/>
      <c r="CJ257" s="24"/>
      <c r="DE257" s="24"/>
      <c r="DF257" s="24"/>
      <c r="DG257" s="24"/>
      <c r="DH257" s="24"/>
      <c r="DI257" s="24"/>
      <c r="DJ257" s="24"/>
      <c r="DK257" s="24"/>
      <c r="DL257" s="24"/>
      <c r="DM257" s="24"/>
      <c r="DN257" s="24"/>
      <c r="DO257" s="24"/>
      <c r="DP257" s="24"/>
      <c r="DQ257" s="24"/>
      <c r="DR257" s="24"/>
      <c r="DS257" s="24"/>
      <c r="DT257" s="24"/>
      <c r="DU257" s="24"/>
      <c r="DV257" s="24"/>
      <c r="DW257" s="24"/>
      <c r="DX257" s="24"/>
      <c r="DY257" s="24"/>
      <c r="DZ257" s="24"/>
      <c r="EA257" s="24"/>
      <c r="EB257" s="24"/>
      <c r="EC257" s="24"/>
      <c r="ED257" s="24"/>
      <c r="EE257" s="24"/>
      <c r="EF257" s="24"/>
      <c r="EG257" s="24"/>
      <c r="EH257" s="24"/>
      <c r="EI257" s="24"/>
      <c r="EJ257" s="24"/>
      <c r="EK257" s="24"/>
      <c r="EL257" s="24"/>
      <c r="EM257" s="24"/>
      <c r="EN257" s="24"/>
      <c r="EO257" s="24"/>
      <c r="EP257" s="24"/>
      <c r="EQ257" s="24"/>
      <c r="ER257" s="24"/>
      <c r="ES257" s="24"/>
      <c r="ET257" s="24"/>
      <c r="EU257" s="24"/>
      <c r="EV257" s="24"/>
      <c r="EW257" s="24"/>
      <c r="EX257" s="24"/>
      <c r="EY257" s="24"/>
      <c r="EZ257" s="24"/>
      <c r="FA257" s="24"/>
      <c r="FB257" s="24"/>
      <c r="FC257" s="24"/>
      <c r="FD257" s="24"/>
      <c r="FE257" s="24"/>
      <c r="FF257" s="24"/>
      <c r="FG257" s="24"/>
      <c r="FH257" s="24"/>
      <c r="FI257" s="24"/>
      <c r="FJ257" s="24"/>
      <c r="FK257" s="24"/>
      <c r="FL257" s="24"/>
    </row>
    <row r="258" spans="1:168" ht="15.75" customHeight="1">
      <c r="A258" s="176"/>
      <c r="B258" s="177"/>
      <c r="C258" s="177"/>
      <c r="D258" s="177"/>
      <c r="E258" s="177"/>
      <c r="F258" s="177"/>
      <c r="G258" s="178"/>
      <c r="H258" s="179"/>
      <c r="J258" s="185"/>
      <c r="O258" s="182"/>
      <c r="P258" s="182"/>
      <c r="Q258" s="1"/>
      <c r="AC258" s="180"/>
      <c r="AD258" s="180"/>
      <c r="AE258" s="180"/>
      <c r="AJ258" s="191"/>
      <c r="BS258" s="181"/>
      <c r="CC258" s="24"/>
      <c r="CD258" s="24"/>
      <c r="CE258" s="24"/>
      <c r="CF258" s="24"/>
      <c r="CG258" s="24"/>
      <c r="CH258" s="24"/>
      <c r="CI258" s="24"/>
      <c r="CJ258" s="24"/>
      <c r="DE258" s="24"/>
      <c r="DF258" s="24"/>
      <c r="DG258" s="24"/>
      <c r="DH258" s="24"/>
      <c r="DI258" s="24"/>
      <c r="DJ258" s="24"/>
      <c r="DK258" s="24"/>
      <c r="DL258" s="24"/>
      <c r="DM258" s="24"/>
      <c r="DN258" s="24"/>
      <c r="DO258" s="24"/>
      <c r="DP258" s="24"/>
      <c r="DQ258" s="24"/>
      <c r="DR258" s="24"/>
      <c r="DS258" s="24"/>
      <c r="DT258" s="24"/>
      <c r="DU258" s="24"/>
      <c r="DV258" s="24"/>
      <c r="DW258" s="24"/>
      <c r="DX258" s="24"/>
      <c r="DY258" s="24"/>
      <c r="DZ258" s="24"/>
      <c r="EA258" s="24"/>
      <c r="EB258" s="24"/>
      <c r="EC258" s="24"/>
      <c r="ED258" s="24"/>
      <c r="EE258" s="24"/>
      <c r="EF258" s="24"/>
      <c r="EG258" s="24"/>
      <c r="EH258" s="24"/>
      <c r="EI258" s="24"/>
      <c r="EJ258" s="24"/>
      <c r="EK258" s="24"/>
      <c r="EL258" s="24"/>
      <c r="EM258" s="24"/>
      <c r="EN258" s="24"/>
      <c r="EO258" s="24"/>
      <c r="EP258" s="24"/>
      <c r="EQ258" s="24"/>
      <c r="ER258" s="24"/>
      <c r="ES258" s="24"/>
      <c r="ET258" s="24"/>
      <c r="EU258" s="24"/>
      <c r="EV258" s="24"/>
      <c r="EW258" s="24"/>
      <c r="EX258" s="24"/>
      <c r="EY258" s="24"/>
      <c r="EZ258" s="24"/>
      <c r="FA258" s="24"/>
      <c r="FB258" s="24"/>
      <c r="FC258" s="24"/>
      <c r="FD258" s="24"/>
      <c r="FE258" s="24"/>
      <c r="FF258" s="24"/>
      <c r="FG258" s="24"/>
      <c r="FH258" s="24"/>
      <c r="FI258" s="24"/>
      <c r="FJ258" s="24"/>
      <c r="FK258" s="24"/>
      <c r="FL258" s="24"/>
    </row>
    <row r="259" spans="1:168" ht="15.75" customHeight="1">
      <c r="A259" s="176"/>
      <c r="B259" s="177"/>
      <c r="C259" s="177"/>
      <c r="D259" s="177"/>
      <c r="E259" s="177"/>
      <c r="F259" s="177"/>
      <c r="G259" s="178"/>
      <c r="H259" s="179"/>
      <c r="J259" s="185"/>
      <c r="O259" s="182"/>
      <c r="P259" s="182"/>
      <c r="Q259" s="1"/>
      <c r="AC259" s="180"/>
      <c r="AD259" s="180"/>
      <c r="AE259" s="180"/>
      <c r="AJ259" s="191"/>
      <c r="BS259" s="181"/>
      <c r="CC259" s="24"/>
      <c r="CD259" s="24"/>
      <c r="CE259" s="24"/>
      <c r="CF259" s="24"/>
      <c r="CG259" s="24"/>
      <c r="CH259" s="24"/>
      <c r="CI259" s="24"/>
      <c r="CJ259" s="24"/>
      <c r="DE259" s="24"/>
      <c r="DF259" s="24"/>
      <c r="DG259" s="24"/>
      <c r="DH259" s="24"/>
      <c r="DI259" s="24"/>
      <c r="DJ259" s="24"/>
      <c r="DK259" s="24"/>
      <c r="DL259" s="24"/>
      <c r="DM259" s="24"/>
      <c r="DN259" s="24"/>
      <c r="DO259" s="24"/>
      <c r="DP259" s="24"/>
      <c r="DQ259" s="24"/>
      <c r="DR259" s="24"/>
      <c r="DS259" s="24"/>
      <c r="DT259" s="24"/>
      <c r="DU259" s="24"/>
      <c r="DV259" s="24"/>
      <c r="DW259" s="24"/>
      <c r="DX259" s="24"/>
      <c r="DY259" s="24"/>
      <c r="DZ259" s="24"/>
      <c r="EA259" s="24"/>
      <c r="EB259" s="24"/>
      <c r="EC259" s="24"/>
      <c r="ED259" s="24"/>
      <c r="EE259" s="24"/>
      <c r="EF259" s="24"/>
      <c r="EG259" s="24"/>
      <c r="EH259" s="24"/>
      <c r="EI259" s="24"/>
      <c r="EJ259" s="24"/>
      <c r="EK259" s="24"/>
      <c r="EL259" s="24"/>
      <c r="EM259" s="24"/>
      <c r="EN259" s="24"/>
      <c r="EO259" s="24"/>
      <c r="EP259" s="24"/>
      <c r="EQ259" s="24"/>
      <c r="ER259" s="24"/>
      <c r="ES259" s="24"/>
      <c r="ET259" s="24"/>
      <c r="EU259" s="24"/>
      <c r="EV259" s="24"/>
      <c r="EW259" s="24"/>
      <c r="EX259" s="24"/>
      <c r="EY259" s="24"/>
      <c r="EZ259" s="24"/>
      <c r="FA259" s="24"/>
      <c r="FB259" s="24"/>
      <c r="FC259" s="24"/>
      <c r="FD259" s="24"/>
      <c r="FE259" s="24"/>
      <c r="FF259" s="24"/>
      <c r="FG259" s="24"/>
      <c r="FH259" s="24"/>
      <c r="FI259" s="24"/>
      <c r="FJ259" s="24"/>
      <c r="FK259" s="24"/>
      <c r="FL259" s="24"/>
    </row>
    <row r="260" spans="1:168" ht="15.75" customHeight="1">
      <c r="A260" s="176"/>
      <c r="B260" s="177"/>
      <c r="C260" s="177"/>
      <c r="D260" s="177"/>
      <c r="E260" s="177"/>
      <c r="F260" s="177"/>
      <c r="G260" s="178"/>
      <c r="H260" s="179"/>
      <c r="J260" s="185"/>
      <c r="O260" s="182"/>
      <c r="P260" s="182"/>
      <c r="Q260" s="1"/>
      <c r="AC260" s="180"/>
      <c r="AD260" s="180"/>
      <c r="AE260" s="180"/>
      <c r="AJ260" s="191"/>
      <c r="BS260" s="181"/>
      <c r="CC260" s="24"/>
      <c r="CD260" s="24"/>
      <c r="CE260" s="24"/>
      <c r="CF260" s="24"/>
      <c r="CG260" s="24"/>
      <c r="CH260" s="24"/>
      <c r="CI260" s="24"/>
      <c r="CJ260" s="24"/>
      <c r="DE260" s="24"/>
      <c r="DF260" s="24"/>
      <c r="DG260" s="24"/>
      <c r="DH260" s="24"/>
      <c r="DI260" s="24"/>
      <c r="DJ260" s="24"/>
      <c r="DK260" s="24"/>
      <c r="DL260" s="24"/>
      <c r="DM260" s="24"/>
      <c r="DN260" s="24"/>
      <c r="DO260" s="24"/>
      <c r="DP260" s="24"/>
      <c r="DQ260" s="24"/>
      <c r="DR260" s="24"/>
      <c r="DS260" s="24"/>
      <c r="DT260" s="24"/>
      <c r="DU260" s="24"/>
      <c r="DV260" s="24"/>
      <c r="DW260" s="24"/>
      <c r="DX260" s="24"/>
      <c r="DY260" s="24"/>
      <c r="DZ260" s="24"/>
      <c r="EA260" s="24"/>
      <c r="EB260" s="24"/>
      <c r="EC260" s="24"/>
      <c r="ED260" s="24"/>
      <c r="EE260" s="24"/>
      <c r="EF260" s="24"/>
      <c r="EG260" s="24"/>
      <c r="EH260" s="24"/>
      <c r="EI260" s="24"/>
      <c r="EJ260" s="24"/>
      <c r="EK260" s="24"/>
      <c r="EL260" s="24"/>
      <c r="EM260" s="24"/>
      <c r="EN260" s="24"/>
      <c r="EO260" s="24"/>
      <c r="EP260" s="24"/>
      <c r="EQ260" s="24"/>
      <c r="ER260" s="24"/>
      <c r="ES260" s="24"/>
      <c r="ET260" s="24"/>
      <c r="EU260" s="24"/>
      <c r="EV260" s="24"/>
      <c r="EW260" s="24"/>
      <c r="EX260" s="24"/>
      <c r="EY260" s="24"/>
      <c r="EZ260" s="24"/>
      <c r="FA260" s="24"/>
      <c r="FB260" s="24"/>
      <c r="FC260" s="24"/>
      <c r="FD260" s="24"/>
      <c r="FE260" s="24"/>
      <c r="FF260" s="24"/>
      <c r="FG260" s="24"/>
      <c r="FH260" s="24"/>
      <c r="FI260" s="24"/>
      <c r="FJ260" s="24"/>
      <c r="FK260" s="24"/>
      <c r="FL260" s="24"/>
    </row>
    <row r="261" spans="1:168" ht="15.75" customHeight="1">
      <c r="A261" s="176"/>
      <c r="B261" s="177"/>
      <c r="C261" s="177"/>
      <c r="D261" s="177"/>
      <c r="E261" s="177"/>
      <c r="F261" s="177"/>
      <c r="G261" s="178"/>
      <c r="H261" s="179"/>
      <c r="J261" s="185"/>
      <c r="O261" s="182"/>
      <c r="P261" s="182"/>
      <c r="Q261" s="1"/>
      <c r="AC261" s="180"/>
      <c r="AD261" s="180"/>
      <c r="AE261" s="180"/>
      <c r="AJ261" s="191"/>
      <c r="BS261" s="181"/>
      <c r="CC261" s="24"/>
      <c r="CD261" s="24"/>
      <c r="CE261" s="24"/>
      <c r="CF261" s="24"/>
      <c r="CG261" s="24"/>
      <c r="CH261" s="24"/>
      <c r="CI261" s="24"/>
      <c r="CJ261" s="24"/>
      <c r="DE261" s="24"/>
      <c r="DF261" s="24"/>
      <c r="DG261" s="24"/>
      <c r="DH261" s="24"/>
      <c r="DI261" s="24"/>
      <c r="DJ261" s="24"/>
      <c r="DK261" s="24"/>
      <c r="DL261" s="24"/>
      <c r="DM261" s="24"/>
      <c r="DN261" s="24"/>
      <c r="DO261" s="24"/>
      <c r="DP261" s="24"/>
      <c r="DQ261" s="24"/>
      <c r="DR261" s="24"/>
      <c r="DS261" s="24"/>
      <c r="DT261" s="24"/>
      <c r="DU261" s="24"/>
      <c r="DV261" s="24"/>
      <c r="DW261" s="24"/>
      <c r="DX261" s="24"/>
      <c r="DY261" s="24"/>
      <c r="DZ261" s="24"/>
      <c r="EA261" s="24"/>
      <c r="EB261" s="24"/>
      <c r="EC261" s="24"/>
      <c r="ED261" s="24"/>
      <c r="EE261" s="24"/>
      <c r="EF261" s="24"/>
      <c r="EG261" s="24"/>
      <c r="EH261" s="24"/>
      <c r="EI261" s="24"/>
      <c r="EJ261" s="24"/>
      <c r="EK261" s="24"/>
      <c r="EL261" s="24"/>
      <c r="EM261" s="24"/>
      <c r="EN261" s="24"/>
      <c r="EO261" s="24"/>
      <c r="EP261" s="24"/>
      <c r="EQ261" s="24"/>
      <c r="ER261" s="24"/>
      <c r="ES261" s="24"/>
      <c r="ET261" s="24"/>
      <c r="EU261" s="24"/>
      <c r="EV261" s="24"/>
      <c r="EW261" s="24"/>
      <c r="EX261" s="24"/>
      <c r="EY261" s="24"/>
      <c r="EZ261" s="24"/>
      <c r="FA261" s="24"/>
      <c r="FB261" s="24"/>
      <c r="FC261" s="24"/>
      <c r="FD261" s="24"/>
      <c r="FE261" s="24"/>
      <c r="FF261" s="24"/>
      <c r="FG261" s="24"/>
      <c r="FH261" s="24"/>
      <c r="FI261" s="24"/>
      <c r="FJ261" s="24"/>
      <c r="FK261" s="24"/>
      <c r="FL261" s="24"/>
    </row>
    <row r="262" spans="1:168" ht="15.75" customHeight="1">
      <c r="A262" s="176"/>
      <c r="B262" s="177"/>
      <c r="C262" s="177"/>
      <c r="D262" s="177"/>
      <c r="E262" s="177"/>
      <c r="F262" s="177"/>
      <c r="G262" s="178"/>
      <c r="H262" s="179"/>
      <c r="J262" s="185"/>
      <c r="O262" s="182"/>
      <c r="P262" s="182"/>
      <c r="Q262" s="1"/>
      <c r="AC262" s="180"/>
      <c r="AD262" s="180"/>
      <c r="AE262" s="180"/>
      <c r="AJ262" s="191"/>
      <c r="BS262" s="181"/>
      <c r="CC262" s="24"/>
      <c r="CD262" s="24"/>
      <c r="CE262" s="24"/>
      <c r="CF262" s="24"/>
      <c r="CG262" s="24"/>
      <c r="CH262" s="24"/>
      <c r="CI262" s="24"/>
      <c r="CJ262" s="24"/>
      <c r="DE262" s="24"/>
      <c r="DF262" s="24"/>
      <c r="DG262" s="24"/>
      <c r="DH262" s="24"/>
      <c r="DI262" s="24"/>
      <c r="DJ262" s="24"/>
      <c r="DK262" s="24"/>
      <c r="DL262" s="24"/>
      <c r="DM262" s="24"/>
      <c r="DN262" s="24"/>
      <c r="DO262" s="24"/>
      <c r="DP262" s="24"/>
      <c r="DQ262" s="24"/>
      <c r="DR262" s="24"/>
      <c r="DS262" s="24"/>
      <c r="DT262" s="24"/>
      <c r="DU262" s="24"/>
      <c r="DV262" s="24"/>
      <c r="DW262" s="24"/>
      <c r="DX262" s="24"/>
      <c r="DY262" s="24"/>
      <c r="DZ262" s="24"/>
      <c r="EA262" s="24"/>
      <c r="EB262" s="24"/>
      <c r="EC262" s="24"/>
      <c r="ED262" s="24"/>
      <c r="EE262" s="24"/>
      <c r="EF262" s="24"/>
      <c r="EG262" s="24"/>
      <c r="EH262" s="24"/>
      <c r="EI262" s="24"/>
      <c r="EJ262" s="24"/>
      <c r="EK262" s="24"/>
      <c r="EL262" s="24"/>
      <c r="EM262" s="24"/>
      <c r="EN262" s="24"/>
      <c r="EO262" s="24"/>
      <c r="EP262" s="24"/>
      <c r="EQ262" s="24"/>
      <c r="ER262" s="24"/>
      <c r="ES262" s="24"/>
      <c r="ET262" s="24"/>
      <c r="EU262" s="24"/>
      <c r="EV262" s="24"/>
      <c r="EW262" s="24"/>
      <c r="EX262" s="24"/>
      <c r="EY262" s="24"/>
      <c r="EZ262" s="24"/>
      <c r="FA262" s="24"/>
      <c r="FB262" s="24"/>
      <c r="FC262" s="24"/>
      <c r="FD262" s="24"/>
      <c r="FE262" s="24"/>
      <c r="FF262" s="24"/>
      <c r="FG262" s="24"/>
      <c r="FH262" s="24"/>
      <c r="FI262" s="24"/>
      <c r="FJ262" s="24"/>
      <c r="FK262" s="24"/>
      <c r="FL262" s="24"/>
    </row>
    <row r="263" spans="1:168" ht="15.75" customHeight="1">
      <c r="A263" s="176"/>
      <c r="B263" s="177"/>
      <c r="C263" s="177"/>
      <c r="D263" s="177"/>
      <c r="E263" s="177"/>
      <c r="F263" s="177"/>
      <c r="G263" s="178"/>
      <c r="H263" s="179"/>
      <c r="J263" s="185"/>
      <c r="O263" s="182"/>
      <c r="P263" s="182"/>
      <c r="Q263" s="1"/>
      <c r="AC263" s="180"/>
      <c r="AD263" s="180"/>
      <c r="AE263" s="180"/>
      <c r="AJ263" s="191"/>
      <c r="BS263" s="181"/>
      <c r="CC263" s="24"/>
      <c r="CD263" s="24"/>
      <c r="CE263" s="24"/>
      <c r="CF263" s="24"/>
      <c r="CG263" s="24"/>
      <c r="CH263" s="24"/>
      <c r="CI263" s="24"/>
      <c r="CJ263" s="24"/>
      <c r="DE263" s="24"/>
      <c r="DF263" s="24"/>
      <c r="DG263" s="24"/>
      <c r="DH263" s="24"/>
      <c r="DI263" s="24"/>
      <c r="DJ263" s="24"/>
      <c r="DK263" s="24"/>
      <c r="DL263" s="24"/>
      <c r="DM263" s="24"/>
      <c r="DN263" s="24"/>
      <c r="DO263" s="24"/>
      <c r="DP263" s="24"/>
      <c r="DQ263" s="24"/>
      <c r="DR263" s="24"/>
      <c r="DS263" s="24"/>
      <c r="DT263" s="24"/>
      <c r="DU263" s="24"/>
      <c r="DV263" s="24"/>
      <c r="DW263" s="24"/>
      <c r="DX263" s="24"/>
      <c r="DY263" s="24"/>
      <c r="DZ263" s="24"/>
      <c r="EA263" s="24"/>
      <c r="EB263" s="24"/>
      <c r="EC263" s="24"/>
      <c r="ED263" s="24"/>
      <c r="EE263" s="24"/>
      <c r="EF263" s="24"/>
      <c r="EG263" s="24"/>
      <c r="EH263" s="24"/>
      <c r="EI263" s="24"/>
      <c r="EJ263" s="24"/>
      <c r="EK263" s="24"/>
      <c r="EL263" s="24"/>
      <c r="EM263" s="24"/>
      <c r="EN263" s="24"/>
      <c r="EO263" s="24"/>
      <c r="EP263" s="24"/>
      <c r="EQ263" s="24"/>
      <c r="ER263" s="24"/>
      <c r="ES263" s="24"/>
      <c r="ET263" s="24"/>
      <c r="EU263" s="24"/>
      <c r="EV263" s="24"/>
      <c r="EW263" s="24"/>
      <c r="EX263" s="24"/>
      <c r="EY263" s="24"/>
      <c r="EZ263" s="24"/>
      <c r="FA263" s="24"/>
      <c r="FB263" s="24"/>
      <c r="FC263" s="24"/>
      <c r="FD263" s="24"/>
      <c r="FE263" s="24"/>
      <c r="FF263" s="24"/>
      <c r="FG263" s="24"/>
      <c r="FH263" s="24"/>
      <c r="FI263" s="24"/>
      <c r="FJ263" s="24"/>
      <c r="FK263" s="24"/>
      <c r="FL263" s="24"/>
    </row>
    <row r="264" spans="1:168" ht="15.75" customHeight="1">
      <c r="A264" s="176"/>
      <c r="B264" s="177"/>
      <c r="C264" s="177"/>
      <c r="D264" s="177"/>
      <c r="E264" s="177"/>
      <c r="F264" s="177"/>
      <c r="G264" s="178"/>
      <c r="H264" s="179"/>
      <c r="J264" s="185"/>
      <c r="O264" s="182"/>
      <c r="P264" s="182"/>
      <c r="Q264" s="1"/>
      <c r="AC264" s="180"/>
      <c r="AD264" s="180"/>
      <c r="AE264" s="180"/>
      <c r="AJ264" s="191"/>
      <c r="BS264" s="181"/>
      <c r="CC264" s="24"/>
      <c r="CD264" s="24"/>
      <c r="CE264" s="24"/>
      <c r="CF264" s="24"/>
      <c r="CG264" s="24"/>
      <c r="CH264" s="24"/>
      <c r="CI264" s="24"/>
      <c r="CJ264" s="24"/>
      <c r="DE264" s="24"/>
      <c r="DF264" s="24"/>
      <c r="DG264" s="24"/>
      <c r="DH264" s="24"/>
      <c r="DI264" s="24"/>
      <c r="DJ264" s="24"/>
      <c r="DK264" s="24"/>
      <c r="DL264" s="24"/>
      <c r="DM264" s="24"/>
      <c r="DN264" s="24"/>
      <c r="DO264" s="24"/>
      <c r="DP264" s="24"/>
      <c r="DQ264" s="24"/>
      <c r="DR264" s="24"/>
      <c r="DS264" s="24"/>
      <c r="DT264" s="24"/>
      <c r="DU264" s="24"/>
      <c r="DV264" s="24"/>
      <c r="DW264" s="24"/>
      <c r="DX264" s="24"/>
      <c r="DY264" s="24"/>
      <c r="DZ264" s="24"/>
      <c r="EA264" s="24"/>
      <c r="EB264" s="24"/>
      <c r="EC264" s="24"/>
      <c r="ED264" s="24"/>
      <c r="EE264" s="24"/>
      <c r="EF264" s="24"/>
      <c r="EG264" s="24"/>
      <c r="EH264" s="24"/>
      <c r="EI264" s="24"/>
      <c r="EJ264" s="24"/>
      <c r="EK264" s="24"/>
      <c r="EL264" s="24"/>
      <c r="EM264" s="24"/>
      <c r="EN264" s="24"/>
      <c r="EO264" s="24"/>
      <c r="EP264" s="24"/>
      <c r="EQ264" s="24"/>
      <c r="ER264" s="24"/>
      <c r="ES264" s="24"/>
      <c r="ET264" s="24"/>
      <c r="EU264" s="24"/>
      <c r="EV264" s="24"/>
      <c r="EW264" s="24"/>
      <c r="EX264" s="24"/>
      <c r="EY264" s="24"/>
      <c r="EZ264" s="24"/>
      <c r="FA264" s="24"/>
      <c r="FB264" s="24"/>
      <c r="FC264" s="24"/>
      <c r="FD264" s="24"/>
      <c r="FE264" s="24"/>
      <c r="FF264" s="24"/>
      <c r="FG264" s="24"/>
      <c r="FH264" s="24"/>
      <c r="FI264" s="24"/>
      <c r="FJ264" s="24"/>
      <c r="FK264" s="24"/>
      <c r="FL264" s="24"/>
    </row>
    <row r="265" spans="1:168" ht="15.75" customHeight="1">
      <c r="A265" s="176"/>
      <c r="B265" s="177"/>
      <c r="C265" s="177"/>
      <c r="D265" s="177"/>
      <c r="E265" s="177"/>
      <c r="F265" s="177"/>
      <c r="G265" s="178"/>
      <c r="H265" s="179"/>
      <c r="J265" s="185"/>
      <c r="O265" s="182"/>
      <c r="P265" s="182"/>
      <c r="Q265" s="1"/>
      <c r="AC265" s="180"/>
      <c r="AD265" s="180"/>
      <c r="AE265" s="180"/>
      <c r="AJ265" s="191"/>
      <c r="BS265" s="181"/>
      <c r="CC265" s="24"/>
      <c r="CD265" s="24"/>
      <c r="CE265" s="24"/>
      <c r="CF265" s="24"/>
      <c r="CG265" s="24"/>
      <c r="CH265" s="24"/>
      <c r="CI265" s="24"/>
      <c r="CJ265" s="24"/>
      <c r="DE265" s="24"/>
      <c r="DF265" s="24"/>
      <c r="DG265" s="24"/>
      <c r="DH265" s="24"/>
      <c r="DI265" s="24"/>
      <c r="DJ265" s="24"/>
      <c r="DK265" s="24"/>
      <c r="DL265" s="24"/>
      <c r="DM265" s="24"/>
      <c r="DN265" s="24"/>
      <c r="DO265" s="24"/>
      <c r="DP265" s="24"/>
      <c r="DQ265" s="24"/>
      <c r="DR265" s="24"/>
      <c r="DS265" s="24"/>
      <c r="DT265" s="24"/>
      <c r="DU265" s="24"/>
      <c r="DV265" s="24"/>
      <c r="DW265" s="24"/>
      <c r="DX265" s="24"/>
      <c r="DY265" s="24"/>
      <c r="DZ265" s="24"/>
      <c r="EA265" s="24"/>
      <c r="EB265" s="24"/>
      <c r="EC265" s="24"/>
      <c r="ED265" s="24"/>
      <c r="EE265" s="24"/>
      <c r="EF265" s="24"/>
      <c r="EG265" s="24"/>
      <c r="EH265" s="24"/>
      <c r="EI265" s="24"/>
      <c r="EJ265" s="24"/>
      <c r="EK265" s="24"/>
      <c r="EL265" s="24"/>
      <c r="EM265" s="24"/>
      <c r="EN265" s="24"/>
      <c r="EO265" s="24"/>
      <c r="EP265" s="24"/>
      <c r="EQ265" s="24"/>
      <c r="ER265" s="24"/>
      <c r="ES265" s="24"/>
      <c r="ET265" s="24"/>
      <c r="EU265" s="24"/>
      <c r="EV265" s="24"/>
      <c r="EW265" s="24"/>
      <c r="EX265" s="24"/>
      <c r="EY265" s="24"/>
      <c r="EZ265" s="24"/>
      <c r="FA265" s="24"/>
      <c r="FB265" s="24"/>
      <c r="FC265" s="24"/>
      <c r="FD265" s="24"/>
      <c r="FE265" s="24"/>
      <c r="FF265" s="24"/>
      <c r="FG265" s="24"/>
      <c r="FH265" s="24"/>
      <c r="FI265" s="24"/>
      <c r="FJ265" s="24"/>
      <c r="FK265" s="24"/>
      <c r="FL265" s="24"/>
    </row>
    <row r="266" spans="1:168" ht="15.75" customHeight="1">
      <c r="A266" s="176"/>
      <c r="B266" s="177"/>
      <c r="C266" s="177"/>
      <c r="D266" s="177"/>
      <c r="E266" s="177"/>
      <c r="F266" s="177"/>
      <c r="G266" s="178"/>
      <c r="H266" s="179"/>
      <c r="J266" s="185"/>
      <c r="O266" s="182"/>
      <c r="P266" s="182"/>
      <c r="Q266" s="1"/>
      <c r="AC266" s="180"/>
      <c r="AD266" s="180"/>
      <c r="AE266" s="180"/>
      <c r="AJ266" s="191"/>
      <c r="BS266" s="181"/>
      <c r="CC266" s="24"/>
      <c r="CD266" s="24"/>
      <c r="CE266" s="24"/>
      <c r="CF266" s="24"/>
      <c r="CG266" s="24"/>
      <c r="CH266" s="24"/>
      <c r="CI266" s="24"/>
      <c r="CJ266" s="24"/>
      <c r="DE266" s="24"/>
      <c r="DF266" s="24"/>
      <c r="DG266" s="24"/>
      <c r="DH266" s="24"/>
      <c r="DI266" s="24"/>
      <c r="DJ266" s="24"/>
      <c r="DK266" s="24"/>
      <c r="DL266" s="24"/>
      <c r="DM266" s="24"/>
      <c r="DN266" s="24"/>
      <c r="DO266" s="24"/>
      <c r="DP266" s="24"/>
      <c r="DQ266" s="24"/>
      <c r="DR266" s="24"/>
      <c r="DS266" s="24"/>
      <c r="DT266" s="24"/>
      <c r="DU266" s="24"/>
      <c r="DV266" s="24"/>
      <c r="DW266" s="24"/>
      <c r="DX266" s="24"/>
      <c r="DY266" s="24"/>
      <c r="DZ266" s="24"/>
      <c r="EA266" s="24"/>
      <c r="EB266" s="24"/>
      <c r="EC266" s="24"/>
      <c r="ED266" s="24"/>
      <c r="EE266" s="24"/>
      <c r="EF266" s="24"/>
      <c r="EG266" s="24"/>
      <c r="EH266" s="24"/>
      <c r="EI266" s="24"/>
      <c r="EJ266" s="24"/>
      <c r="EK266" s="24"/>
      <c r="EL266" s="24"/>
      <c r="EM266" s="24"/>
      <c r="EN266" s="24"/>
      <c r="EO266" s="24"/>
      <c r="EP266" s="24"/>
      <c r="EQ266" s="24"/>
      <c r="ER266" s="24"/>
      <c r="ES266" s="24"/>
      <c r="ET266" s="24"/>
      <c r="EU266" s="24"/>
      <c r="EV266" s="24"/>
      <c r="EW266" s="24"/>
      <c r="EX266" s="24"/>
      <c r="EY266" s="24"/>
      <c r="EZ266" s="24"/>
      <c r="FA266" s="24"/>
      <c r="FB266" s="24"/>
      <c r="FC266" s="24"/>
      <c r="FD266" s="24"/>
      <c r="FE266" s="24"/>
      <c r="FF266" s="24"/>
      <c r="FG266" s="24"/>
      <c r="FH266" s="24"/>
      <c r="FI266" s="24"/>
      <c r="FJ266" s="24"/>
      <c r="FK266" s="24"/>
      <c r="FL266" s="24"/>
    </row>
    <row r="267" spans="1:168" ht="15.75" customHeight="1">
      <c r="A267" s="176"/>
      <c r="B267" s="177"/>
      <c r="C267" s="177"/>
      <c r="D267" s="177"/>
      <c r="E267" s="177"/>
      <c r="F267" s="177"/>
      <c r="G267" s="178"/>
      <c r="H267" s="179"/>
      <c r="J267" s="185"/>
      <c r="O267" s="182"/>
      <c r="P267" s="182"/>
      <c r="Q267" s="1"/>
      <c r="AC267" s="180"/>
      <c r="AD267" s="180"/>
      <c r="AE267" s="180"/>
      <c r="AJ267" s="191"/>
      <c r="BS267" s="181"/>
      <c r="CC267" s="24"/>
      <c r="CD267" s="24"/>
      <c r="CE267" s="24"/>
      <c r="CF267" s="24"/>
      <c r="CG267" s="24"/>
      <c r="CH267" s="24"/>
      <c r="CI267" s="24"/>
      <c r="CJ267" s="24"/>
      <c r="DE267" s="24"/>
      <c r="DF267" s="24"/>
      <c r="DG267" s="24"/>
      <c r="DH267" s="24"/>
      <c r="DI267" s="24"/>
      <c r="DJ267" s="24"/>
      <c r="DK267" s="24"/>
      <c r="DL267" s="24"/>
      <c r="DM267" s="24"/>
      <c r="DN267" s="24"/>
      <c r="DO267" s="24"/>
      <c r="DP267" s="24"/>
      <c r="DQ267" s="24"/>
      <c r="DR267" s="24"/>
      <c r="DS267" s="24"/>
      <c r="DT267" s="24"/>
      <c r="DU267" s="24"/>
      <c r="DV267" s="24"/>
      <c r="DW267" s="24"/>
      <c r="DX267" s="24"/>
      <c r="DY267" s="24"/>
      <c r="DZ267" s="24"/>
      <c r="EA267" s="24"/>
      <c r="EB267" s="24"/>
      <c r="EC267" s="24"/>
      <c r="ED267" s="24"/>
      <c r="EE267" s="24"/>
      <c r="EF267" s="24"/>
      <c r="EG267" s="24"/>
      <c r="EH267" s="24"/>
      <c r="EI267" s="24"/>
      <c r="EJ267" s="24"/>
      <c r="EK267" s="24"/>
      <c r="EL267" s="24"/>
      <c r="EM267" s="24"/>
      <c r="EN267" s="24"/>
      <c r="EO267" s="24"/>
      <c r="EP267" s="24"/>
      <c r="EQ267" s="24"/>
      <c r="ER267" s="24"/>
      <c r="ES267" s="24"/>
      <c r="ET267" s="24"/>
      <c r="EU267" s="24"/>
      <c r="EV267" s="24"/>
      <c r="EW267" s="24"/>
      <c r="EX267" s="24"/>
      <c r="EY267" s="24"/>
      <c r="EZ267" s="24"/>
      <c r="FA267" s="24"/>
      <c r="FB267" s="24"/>
      <c r="FC267" s="24"/>
      <c r="FD267" s="24"/>
      <c r="FE267" s="24"/>
      <c r="FF267" s="24"/>
      <c r="FG267" s="24"/>
      <c r="FH267" s="24"/>
      <c r="FI267" s="24"/>
      <c r="FJ267" s="24"/>
      <c r="FK267" s="24"/>
      <c r="FL267" s="24"/>
    </row>
    <row r="268" spans="1:168" ht="15.75" customHeight="1">
      <c r="A268" s="176"/>
      <c r="B268" s="177"/>
      <c r="C268" s="177"/>
      <c r="D268" s="177"/>
      <c r="E268" s="177"/>
      <c r="F268" s="177"/>
      <c r="G268" s="178"/>
      <c r="H268" s="179"/>
      <c r="J268" s="185"/>
      <c r="O268" s="182"/>
      <c r="P268" s="182"/>
      <c r="Q268" s="1"/>
      <c r="AC268" s="180"/>
      <c r="AD268" s="180"/>
      <c r="AE268" s="180"/>
      <c r="AJ268" s="191"/>
      <c r="BS268" s="181"/>
      <c r="CC268" s="24"/>
      <c r="CD268" s="24"/>
      <c r="CE268" s="24"/>
      <c r="CF268" s="24"/>
      <c r="CG268" s="24"/>
      <c r="CH268" s="24"/>
      <c r="CI268" s="24"/>
      <c r="CJ268" s="24"/>
      <c r="DE268" s="24"/>
      <c r="DF268" s="24"/>
      <c r="DG268" s="24"/>
      <c r="DH268" s="24"/>
      <c r="DI268" s="24"/>
      <c r="DJ268" s="24"/>
      <c r="DK268" s="24"/>
      <c r="DL268" s="24"/>
      <c r="DM268" s="24"/>
      <c r="DN268" s="24"/>
      <c r="DO268" s="24"/>
      <c r="DP268" s="24"/>
      <c r="DQ268" s="24"/>
      <c r="DR268" s="24"/>
      <c r="DS268" s="24"/>
      <c r="DT268" s="24"/>
      <c r="DU268" s="24"/>
      <c r="DV268" s="24"/>
      <c r="DW268" s="24"/>
      <c r="DX268" s="24"/>
      <c r="DY268" s="24"/>
      <c r="DZ268" s="24"/>
      <c r="EA268" s="24"/>
      <c r="EB268" s="24"/>
      <c r="EC268" s="24"/>
      <c r="ED268" s="24"/>
      <c r="EE268" s="24"/>
      <c r="EF268" s="24"/>
      <c r="EG268" s="24"/>
      <c r="EH268" s="24"/>
      <c r="EI268" s="24"/>
      <c r="EJ268" s="24"/>
      <c r="EK268" s="24"/>
      <c r="EL268" s="24"/>
      <c r="EM268" s="24"/>
      <c r="EN268" s="24"/>
      <c r="EO268" s="24"/>
      <c r="EP268" s="24"/>
      <c r="EQ268" s="24"/>
      <c r="ER268" s="24"/>
      <c r="ES268" s="24"/>
      <c r="ET268" s="24"/>
      <c r="EU268" s="24"/>
      <c r="EV268" s="24"/>
      <c r="EW268" s="24"/>
      <c r="EX268" s="24"/>
      <c r="EY268" s="24"/>
      <c r="EZ268" s="24"/>
      <c r="FA268" s="24"/>
      <c r="FB268" s="24"/>
      <c r="FC268" s="24"/>
      <c r="FD268" s="24"/>
      <c r="FE268" s="24"/>
      <c r="FF268" s="24"/>
      <c r="FG268" s="24"/>
      <c r="FH268" s="24"/>
      <c r="FI268" s="24"/>
      <c r="FJ268" s="24"/>
      <c r="FK268" s="24"/>
      <c r="FL268" s="24"/>
    </row>
    <row r="269" spans="1:168" ht="15.75" customHeight="1">
      <c r="A269" s="176"/>
      <c r="B269" s="177"/>
      <c r="C269" s="177"/>
      <c r="D269" s="177"/>
      <c r="E269" s="177"/>
      <c r="F269" s="177"/>
      <c r="G269" s="178"/>
      <c r="H269" s="179"/>
      <c r="J269" s="185"/>
      <c r="O269" s="182"/>
      <c r="P269" s="182"/>
      <c r="Q269" s="1"/>
      <c r="AC269" s="180"/>
      <c r="AD269" s="180"/>
      <c r="AE269" s="180"/>
      <c r="AJ269" s="191"/>
      <c r="BS269" s="181"/>
      <c r="CC269" s="24"/>
      <c r="CD269" s="24"/>
      <c r="CE269" s="24"/>
      <c r="CF269" s="24"/>
      <c r="CG269" s="24"/>
      <c r="CH269" s="24"/>
      <c r="CI269" s="24"/>
      <c r="CJ269" s="24"/>
      <c r="DE269" s="24"/>
      <c r="DF269" s="24"/>
      <c r="DG269" s="24"/>
      <c r="DH269" s="24"/>
      <c r="DI269" s="24"/>
      <c r="DJ269" s="24"/>
      <c r="DK269" s="24"/>
      <c r="DL269" s="24"/>
      <c r="DM269" s="24"/>
      <c r="DN269" s="24"/>
      <c r="DO269" s="24"/>
      <c r="DP269" s="24"/>
      <c r="DQ269" s="24"/>
      <c r="DR269" s="24"/>
      <c r="DS269" s="24"/>
      <c r="DT269" s="24"/>
      <c r="DU269" s="24"/>
      <c r="DV269" s="24"/>
      <c r="DW269" s="24"/>
      <c r="DX269" s="24"/>
      <c r="DY269" s="24"/>
      <c r="DZ269" s="24"/>
      <c r="EA269" s="24"/>
      <c r="EB269" s="24"/>
      <c r="EC269" s="24"/>
      <c r="ED269" s="24"/>
      <c r="EE269" s="24"/>
      <c r="EF269" s="24"/>
      <c r="EG269" s="24"/>
      <c r="EH269" s="24"/>
      <c r="EI269" s="24"/>
      <c r="EJ269" s="24"/>
      <c r="EK269" s="24"/>
      <c r="EL269" s="24"/>
      <c r="EM269" s="24"/>
      <c r="EN269" s="24"/>
      <c r="EO269" s="24"/>
      <c r="EP269" s="24"/>
      <c r="EQ269" s="24"/>
      <c r="ER269" s="24"/>
      <c r="ES269" s="24"/>
      <c r="ET269" s="24"/>
      <c r="EU269" s="24"/>
      <c r="EV269" s="24"/>
      <c r="EW269" s="24"/>
      <c r="EX269" s="24"/>
      <c r="EY269" s="24"/>
      <c r="EZ269" s="24"/>
      <c r="FA269" s="24"/>
      <c r="FB269" s="24"/>
      <c r="FC269" s="24"/>
      <c r="FD269" s="24"/>
      <c r="FE269" s="24"/>
      <c r="FF269" s="24"/>
      <c r="FG269" s="24"/>
      <c r="FH269" s="24"/>
      <c r="FI269" s="24"/>
      <c r="FJ269" s="24"/>
      <c r="FK269" s="24"/>
      <c r="FL269" s="24"/>
    </row>
    <row r="270" spans="1:168" ht="15.75" customHeight="1">
      <c r="A270" s="176"/>
      <c r="B270" s="177"/>
      <c r="C270" s="177"/>
      <c r="D270" s="177"/>
      <c r="E270" s="177"/>
      <c r="F270" s="177"/>
      <c r="G270" s="178"/>
      <c r="H270" s="179"/>
      <c r="J270" s="185"/>
      <c r="O270" s="182"/>
      <c r="P270" s="182"/>
      <c r="Q270" s="1"/>
      <c r="AC270" s="180"/>
      <c r="AD270" s="180"/>
      <c r="AE270" s="180"/>
      <c r="AJ270" s="191"/>
      <c r="BS270" s="181"/>
      <c r="CC270" s="24"/>
      <c r="CD270" s="24"/>
      <c r="CE270" s="24"/>
      <c r="CF270" s="24"/>
      <c r="CG270" s="24"/>
      <c r="CH270" s="24"/>
      <c r="CI270" s="24"/>
      <c r="CJ270" s="24"/>
      <c r="DE270" s="24"/>
      <c r="DF270" s="24"/>
      <c r="DG270" s="24"/>
      <c r="DH270" s="24"/>
      <c r="DI270" s="24"/>
      <c r="DJ270" s="24"/>
      <c r="DK270" s="24"/>
      <c r="DL270" s="24"/>
      <c r="DM270" s="24"/>
      <c r="DN270" s="24"/>
      <c r="DO270" s="24"/>
      <c r="DP270" s="24"/>
      <c r="DQ270" s="24"/>
      <c r="DR270" s="24"/>
      <c r="DS270" s="24"/>
      <c r="DT270" s="24"/>
      <c r="DU270" s="24"/>
      <c r="DV270" s="24"/>
      <c r="DW270" s="24"/>
      <c r="DX270" s="24"/>
      <c r="DY270" s="24"/>
      <c r="DZ270" s="24"/>
      <c r="EA270" s="24"/>
      <c r="EB270" s="24"/>
      <c r="EC270" s="24"/>
      <c r="ED270" s="24"/>
      <c r="EE270" s="24"/>
      <c r="EF270" s="24"/>
      <c r="EG270" s="24"/>
      <c r="EH270" s="24"/>
      <c r="EI270" s="24"/>
      <c r="EJ270" s="24"/>
      <c r="EK270" s="24"/>
      <c r="EL270" s="24"/>
      <c r="EM270" s="24"/>
      <c r="EN270" s="24"/>
      <c r="EO270" s="24"/>
      <c r="EP270" s="24"/>
      <c r="EQ270" s="24"/>
      <c r="ER270" s="24"/>
      <c r="ES270" s="24"/>
      <c r="ET270" s="24"/>
      <c r="EU270" s="24"/>
      <c r="EV270" s="24"/>
      <c r="EW270" s="24"/>
      <c r="EX270" s="24"/>
      <c r="EY270" s="24"/>
      <c r="EZ270" s="24"/>
      <c r="FA270" s="24"/>
      <c r="FB270" s="24"/>
      <c r="FC270" s="24"/>
      <c r="FD270" s="24"/>
      <c r="FE270" s="24"/>
      <c r="FF270" s="24"/>
      <c r="FG270" s="24"/>
      <c r="FH270" s="24"/>
      <c r="FI270" s="24"/>
      <c r="FJ270" s="24"/>
      <c r="FK270" s="24"/>
      <c r="FL270" s="24"/>
    </row>
    <row r="271" spans="1:168" ht="15.75" customHeight="1">
      <c r="A271" s="176"/>
      <c r="B271" s="177"/>
      <c r="C271" s="177"/>
      <c r="D271" s="177"/>
      <c r="E271" s="177"/>
      <c r="F271" s="177"/>
      <c r="G271" s="178"/>
      <c r="H271" s="179"/>
      <c r="J271" s="185"/>
      <c r="O271" s="182"/>
      <c r="P271" s="182"/>
      <c r="Q271" s="1"/>
      <c r="AC271" s="180"/>
      <c r="AD271" s="180"/>
      <c r="AE271" s="180"/>
      <c r="AJ271" s="191"/>
      <c r="BS271" s="181"/>
      <c r="CC271" s="24"/>
      <c r="CD271" s="24"/>
      <c r="CE271" s="24"/>
      <c r="CF271" s="24"/>
      <c r="CG271" s="24"/>
      <c r="CH271" s="24"/>
      <c r="CI271" s="24"/>
      <c r="CJ271" s="24"/>
      <c r="DE271" s="24"/>
      <c r="DF271" s="24"/>
      <c r="DG271" s="24"/>
      <c r="DH271" s="24"/>
      <c r="DI271" s="24"/>
      <c r="DJ271" s="24"/>
      <c r="DK271" s="24"/>
      <c r="DL271" s="24"/>
      <c r="DM271" s="24"/>
      <c r="DN271" s="24"/>
      <c r="DO271" s="24"/>
      <c r="DP271" s="24"/>
      <c r="DQ271" s="24"/>
      <c r="DR271" s="24"/>
      <c r="DS271" s="24"/>
      <c r="DT271" s="24"/>
      <c r="DU271" s="24"/>
      <c r="DV271" s="24"/>
      <c r="DW271" s="24"/>
      <c r="DX271" s="24"/>
      <c r="DY271" s="24"/>
      <c r="DZ271" s="24"/>
      <c r="EA271" s="24"/>
      <c r="EB271" s="24"/>
      <c r="EC271" s="24"/>
      <c r="ED271" s="24"/>
      <c r="EE271" s="24"/>
      <c r="EF271" s="24"/>
      <c r="EG271" s="24"/>
      <c r="EH271" s="24"/>
      <c r="EI271" s="24"/>
      <c r="EJ271" s="24"/>
      <c r="EK271" s="24"/>
      <c r="EL271" s="24"/>
      <c r="EM271" s="24"/>
      <c r="EN271" s="24"/>
      <c r="EO271" s="24"/>
      <c r="EP271" s="24"/>
      <c r="EQ271" s="24"/>
      <c r="ER271" s="24"/>
      <c r="ES271" s="24"/>
      <c r="ET271" s="24"/>
      <c r="EU271" s="24"/>
      <c r="EV271" s="24"/>
      <c r="EW271" s="24"/>
      <c r="EX271" s="24"/>
      <c r="EY271" s="24"/>
      <c r="EZ271" s="24"/>
      <c r="FA271" s="24"/>
      <c r="FB271" s="24"/>
      <c r="FC271" s="24"/>
      <c r="FD271" s="24"/>
      <c r="FE271" s="24"/>
      <c r="FF271" s="24"/>
      <c r="FG271" s="24"/>
      <c r="FH271" s="24"/>
      <c r="FI271" s="24"/>
      <c r="FJ271" s="24"/>
      <c r="FK271" s="24"/>
      <c r="FL271" s="24"/>
    </row>
    <row r="272" spans="1:168" ht="15.75" customHeight="1">
      <c r="A272" s="176"/>
      <c r="B272" s="177"/>
      <c r="C272" s="177"/>
      <c r="D272" s="177"/>
      <c r="E272" s="177"/>
      <c r="F272" s="177"/>
      <c r="G272" s="178"/>
      <c r="H272" s="179"/>
      <c r="J272" s="185"/>
      <c r="O272" s="182"/>
      <c r="P272" s="182"/>
      <c r="Q272" s="1"/>
      <c r="AC272" s="180"/>
      <c r="AD272" s="180"/>
      <c r="AE272" s="180"/>
      <c r="AJ272" s="191"/>
      <c r="BS272" s="181"/>
      <c r="CC272" s="24"/>
      <c r="CD272" s="24"/>
      <c r="CE272" s="24"/>
      <c r="CF272" s="24"/>
      <c r="CG272" s="24"/>
      <c r="CH272" s="24"/>
      <c r="CI272" s="24"/>
      <c r="CJ272" s="24"/>
      <c r="DE272" s="24"/>
      <c r="DF272" s="24"/>
      <c r="DG272" s="24"/>
      <c r="DH272" s="24"/>
      <c r="DI272" s="24"/>
      <c r="DJ272" s="24"/>
      <c r="DK272" s="24"/>
      <c r="DL272" s="24"/>
      <c r="DM272" s="24"/>
      <c r="DN272" s="24"/>
      <c r="DO272" s="24"/>
      <c r="DP272" s="24"/>
      <c r="DQ272" s="24"/>
      <c r="DR272" s="24"/>
      <c r="DS272" s="24"/>
      <c r="DT272" s="24"/>
      <c r="DU272" s="24"/>
      <c r="DV272" s="24"/>
      <c r="DW272" s="24"/>
      <c r="DX272" s="24"/>
      <c r="DY272" s="24"/>
      <c r="DZ272" s="24"/>
      <c r="EA272" s="24"/>
      <c r="EB272" s="24"/>
      <c r="EC272" s="24"/>
      <c r="ED272" s="24"/>
      <c r="EE272" s="24"/>
      <c r="EF272" s="24"/>
      <c r="EG272" s="24"/>
      <c r="EH272" s="24"/>
      <c r="EI272" s="24"/>
      <c r="EJ272" s="24"/>
      <c r="EK272" s="24"/>
      <c r="EL272" s="24"/>
      <c r="EM272" s="24"/>
      <c r="EN272" s="24"/>
      <c r="EO272" s="24"/>
      <c r="EP272" s="24"/>
      <c r="EQ272" s="24"/>
      <c r="ER272" s="24"/>
      <c r="ES272" s="24"/>
      <c r="ET272" s="24"/>
      <c r="EU272" s="24"/>
      <c r="EV272" s="24"/>
      <c r="EW272" s="24"/>
      <c r="EX272" s="24"/>
      <c r="EY272" s="24"/>
      <c r="EZ272" s="24"/>
      <c r="FA272" s="24"/>
      <c r="FB272" s="24"/>
      <c r="FC272" s="24"/>
      <c r="FD272" s="24"/>
      <c r="FE272" s="24"/>
      <c r="FF272" s="24"/>
      <c r="FG272" s="24"/>
      <c r="FH272" s="24"/>
      <c r="FI272" s="24"/>
      <c r="FJ272" s="24"/>
      <c r="FK272" s="24"/>
      <c r="FL272" s="24"/>
    </row>
    <row r="273" spans="1:168" ht="15.75" customHeight="1">
      <c r="A273" s="176"/>
      <c r="B273" s="177"/>
      <c r="C273" s="177"/>
      <c r="D273" s="177"/>
      <c r="E273" s="177"/>
      <c r="F273" s="177"/>
      <c r="G273" s="178"/>
      <c r="H273" s="179"/>
      <c r="J273" s="185"/>
      <c r="O273" s="182"/>
      <c r="P273" s="182"/>
      <c r="Q273" s="1"/>
      <c r="AC273" s="180"/>
      <c r="AD273" s="180"/>
      <c r="AE273" s="180"/>
      <c r="AJ273" s="191"/>
      <c r="BS273" s="181"/>
      <c r="CC273" s="24"/>
      <c r="CD273" s="24"/>
      <c r="CE273" s="24"/>
      <c r="CF273" s="24"/>
      <c r="CG273" s="24"/>
      <c r="CH273" s="24"/>
      <c r="CI273" s="24"/>
      <c r="CJ273" s="24"/>
      <c r="DE273" s="24"/>
      <c r="DF273" s="24"/>
      <c r="DG273" s="24"/>
      <c r="DH273" s="24"/>
      <c r="DI273" s="24"/>
      <c r="DJ273" s="24"/>
      <c r="DK273" s="24"/>
      <c r="DL273" s="24"/>
      <c r="DM273" s="24"/>
      <c r="DN273" s="24"/>
      <c r="DO273" s="24"/>
      <c r="DP273" s="24"/>
      <c r="DQ273" s="24"/>
      <c r="DR273" s="24"/>
      <c r="DS273" s="24"/>
      <c r="DT273" s="24"/>
      <c r="DU273" s="24"/>
      <c r="DV273" s="24"/>
      <c r="DW273" s="24"/>
      <c r="DX273" s="24"/>
      <c r="DY273" s="24"/>
      <c r="DZ273" s="24"/>
      <c r="EA273" s="24"/>
      <c r="EB273" s="24"/>
      <c r="EC273" s="24"/>
      <c r="ED273" s="24"/>
      <c r="EE273" s="24"/>
      <c r="EF273" s="24"/>
      <c r="EG273" s="24"/>
      <c r="EH273" s="24"/>
      <c r="EI273" s="24"/>
      <c r="EJ273" s="24"/>
      <c r="EK273" s="24"/>
      <c r="EL273" s="24"/>
      <c r="EM273" s="24"/>
      <c r="EN273" s="24"/>
      <c r="EO273" s="24"/>
      <c r="EP273" s="24"/>
      <c r="EQ273" s="24"/>
      <c r="ER273" s="24"/>
      <c r="ES273" s="24"/>
      <c r="ET273" s="24"/>
      <c r="EU273" s="24"/>
      <c r="EV273" s="24"/>
      <c r="EW273" s="24"/>
      <c r="EX273" s="24"/>
      <c r="EY273" s="24"/>
      <c r="EZ273" s="24"/>
      <c r="FA273" s="24"/>
      <c r="FB273" s="24"/>
      <c r="FC273" s="24"/>
      <c r="FD273" s="24"/>
      <c r="FE273" s="24"/>
      <c r="FF273" s="24"/>
      <c r="FG273" s="24"/>
      <c r="FH273" s="24"/>
      <c r="FI273" s="24"/>
      <c r="FJ273" s="24"/>
      <c r="FK273" s="24"/>
      <c r="FL273" s="24"/>
    </row>
    <row r="274" spans="1:168" ht="15.75" customHeight="1">
      <c r="A274" s="176"/>
      <c r="B274" s="177"/>
      <c r="C274" s="177"/>
      <c r="D274" s="177"/>
      <c r="E274" s="177"/>
      <c r="F274" s="177"/>
      <c r="G274" s="178"/>
      <c r="H274" s="179"/>
      <c r="J274" s="185"/>
      <c r="O274" s="182"/>
      <c r="P274" s="182"/>
      <c r="Q274" s="1"/>
      <c r="AC274" s="180"/>
      <c r="AD274" s="180"/>
      <c r="AE274" s="180"/>
      <c r="AJ274" s="191"/>
      <c r="BS274" s="181"/>
      <c r="CC274" s="24"/>
      <c r="CD274" s="24"/>
      <c r="CE274" s="24"/>
      <c r="CF274" s="24"/>
      <c r="CG274" s="24"/>
      <c r="CH274" s="24"/>
      <c r="CI274" s="24"/>
      <c r="CJ274" s="24"/>
      <c r="DE274" s="24"/>
      <c r="DF274" s="24"/>
      <c r="DG274" s="24"/>
      <c r="DH274" s="24"/>
      <c r="DI274" s="24"/>
      <c r="DJ274" s="24"/>
      <c r="DK274" s="24"/>
      <c r="DL274" s="24"/>
      <c r="DM274" s="24"/>
      <c r="DN274" s="24"/>
      <c r="DO274" s="24"/>
      <c r="DP274" s="24"/>
      <c r="DQ274" s="24"/>
      <c r="DR274" s="24"/>
      <c r="DS274" s="24"/>
      <c r="DT274" s="24"/>
      <c r="DU274" s="24"/>
      <c r="DV274" s="24"/>
      <c r="DW274" s="24"/>
      <c r="DX274" s="24"/>
      <c r="DY274" s="24"/>
      <c r="DZ274" s="24"/>
      <c r="EA274" s="24"/>
      <c r="EB274" s="24"/>
      <c r="EC274" s="24"/>
      <c r="ED274" s="24"/>
      <c r="EE274" s="24"/>
      <c r="EF274" s="24"/>
      <c r="EG274" s="24"/>
      <c r="EH274" s="24"/>
      <c r="EI274" s="24"/>
      <c r="EJ274" s="24"/>
      <c r="EK274" s="24"/>
      <c r="EL274" s="24"/>
      <c r="EM274" s="24"/>
      <c r="EN274" s="24"/>
      <c r="EO274" s="24"/>
      <c r="EP274" s="24"/>
      <c r="EQ274" s="24"/>
      <c r="ER274" s="24"/>
      <c r="ES274" s="24"/>
      <c r="ET274" s="24"/>
      <c r="EU274" s="24"/>
      <c r="EV274" s="24"/>
      <c r="EW274" s="24"/>
      <c r="EX274" s="24"/>
      <c r="EY274" s="24"/>
      <c r="EZ274" s="24"/>
      <c r="FA274" s="24"/>
      <c r="FB274" s="24"/>
      <c r="FC274" s="24"/>
      <c r="FD274" s="24"/>
      <c r="FE274" s="24"/>
      <c r="FF274" s="24"/>
      <c r="FG274" s="24"/>
      <c r="FH274" s="24"/>
      <c r="FI274" s="24"/>
      <c r="FJ274" s="24"/>
      <c r="FK274" s="24"/>
      <c r="FL274" s="24"/>
    </row>
    <row r="275" spans="1:168" ht="15.75" customHeight="1">
      <c r="A275" s="176"/>
      <c r="B275" s="177"/>
      <c r="C275" s="177"/>
      <c r="D275" s="177"/>
      <c r="E275" s="177"/>
      <c r="F275" s="177"/>
      <c r="G275" s="178"/>
      <c r="H275" s="179"/>
      <c r="J275" s="185"/>
      <c r="O275" s="182"/>
      <c r="P275" s="182"/>
      <c r="Q275" s="1"/>
      <c r="AC275" s="180"/>
      <c r="AD275" s="180"/>
      <c r="AE275" s="180"/>
      <c r="AJ275" s="191"/>
      <c r="BS275" s="181"/>
      <c r="CC275" s="24"/>
      <c r="CD275" s="24"/>
      <c r="CE275" s="24"/>
      <c r="CF275" s="24"/>
      <c r="CG275" s="24"/>
      <c r="CH275" s="24"/>
      <c r="CI275" s="24"/>
      <c r="CJ275" s="24"/>
      <c r="DE275" s="24"/>
      <c r="DF275" s="24"/>
      <c r="DG275" s="24"/>
      <c r="DH275" s="24"/>
      <c r="DI275" s="24"/>
      <c r="DJ275" s="24"/>
      <c r="DK275" s="24"/>
      <c r="DL275" s="24"/>
      <c r="DM275" s="24"/>
      <c r="DN275" s="24"/>
      <c r="DO275" s="24"/>
      <c r="DP275" s="24"/>
      <c r="DQ275" s="24"/>
      <c r="DR275" s="24"/>
      <c r="DS275" s="24"/>
      <c r="DT275" s="24"/>
      <c r="DU275" s="24"/>
      <c r="DV275" s="24"/>
      <c r="DW275" s="24"/>
      <c r="DX275" s="24"/>
      <c r="DY275" s="24"/>
      <c r="DZ275" s="24"/>
      <c r="EA275" s="24"/>
      <c r="EB275" s="24"/>
      <c r="EC275" s="24"/>
      <c r="ED275" s="24"/>
      <c r="EE275" s="24"/>
      <c r="EF275" s="24"/>
      <c r="EG275" s="24"/>
      <c r="EH275" s="24"/>
      <c r="EI275" s="24"/>
      <c r="EJ275" s="24"/>
      <c r="EK275" s="24"/>
      <c r="EL275" s="24"/>
      <c r="EM275" s="24"/>
      <c r="EN275" s="24"/>
      <c r="EO275" s="24"/>
      <c r="EP275" s="24"/>
      <c r="EQ275" s="24"/>
      <c r="ER275" s="24"/>
      <c r="ES275" s="24"/>
      <c r="ET275" s="24"/>
      <c r="EU275" s="24"/>
      <c r="EV275" s="24"/>
      <c r="EW275" s="24"/>
      <c r="EX275" s="24"/>
      <c r="EY275" s="24"/>
      <c r="EZ275" s="24"/>
      <c r="FA275" s="24"/>
      <c r="FB275" s="24"/>
      <c r="FC275" s="24"/>
      <c r="FD275" s="24"/>
      <c r="FE275" s="24"/>
      <c r="FF275" s="24"/>
      <c r="FG275" s="24"/>
      <c r="FH275" s="24"/>
      <c r="FI275" s="24"/>
      <c r="FJ275" s="24"/>
      <c r="FK275" s="24"/>
      <c r="FL275" s="24"/>
    </row>
    <row r="276" spans="1:168" ht="15.75" customHeight="1">
      <c r="A276" s="176"/>
      <c r="B276" s="177"/>
      <c r="C276" s="177"/>
      <c r="D276" s="177"/>
      <c r="E276" s="177"/>
      <c r="F276" s="177"/>
      <c r="G276" s="178"/>
      <c r="H276" s="179"/>
      <c r="J276" s="185"/>
      <c r="O276" s="182"/>
      <c r="P276" s="182"/>
      <c r="Q276" s="1"/>
      <c r="AC276" s="180"/>
      <c r="AD276" s="180"/>
      <c r="AE276" s="180"/>
      <c r="AJ276" s="191"/>
      <c r="BS276" s="181"/>
      <c r="CC276" s="24"/>
      <c r="CD276" s="24"/>
      <c r="CE276" s="24"/>
      <c r="CF276" s="24"/>
      <c r="CG276" s="24"/>
      <c r="CH276" s="24"/>
      <c r="CI276" s="24"/>
      <c r="CJ276" s="24"/>
      <c r="DE276" s="24"/>
      <c r="DF276" s="24"/>
      <c r="DG276" s="24"/>
      <c r="DH276" s="24"/>
      <c r="DI276" s="24"/>
      <c r="DJ276" s="24"/>
      <c r="DK276" s="24"/>
      <c r="DL276" s="24"/>
      <c r="DM276" s="24"/>
      <c r="DN276" s="24"/>
      <c r="DO276" s="24"/>
      <c r="DP276" s="24"/>
      <c r="DQ276" s="24"/>
      <c r="DR276" s="24"/>
      <c r="DS276" s="24"/>
      <c r="DT276" s="24"/>
      <c r="DU276" s="24"/>
      <c r="DV276" s="24"/>
      <c r="DW276" s="24"/>
      <c r="DX276" s="24"/>
      <c r="DY276" s="24"/>
      <c r="DZ276" s="24"/>
      <c r="EA276" s="24"/>
      <c r="EB276" s="24"/>
      <c r="EC276" s="24"/>
      <c r="ED276" s="24"/>
      <c r="EE276" s="24"/>
      <c r="EF276" s="24"/>
      <c r="EG276" s="24"/>
      <c r="EH276" s="24"/>
      <c r="EI276" s="24"/>
      <c r="EJ276" s="24"/>
      <c r="EK276" s="24"/>
      <c r="EL276" s="24"/>
      <c r="EM276" s="24"/>
      <c r="EN276" s="24"/>
      <c r="EO276" s="24"/>
      <c r="EP276" s="24"/>
      <c r="EQ276" s="24"/>
      <c r="ER276" s="24"/>
      <c r="ES276" s="24"/>
      <c r="ET276" s="24"/>
      <c r="EU276" s="24"/>
      <c r="EV276" s="24"/>
      <c r="EW276" s="24"/>
      <c r="EX276" s="24"/>
      <c r="EY276" s="24"/>
      <c r="EZ276" s="24"/>
      <c r="FA276" s="24"/>
      <c r="FB276" s="24"/>
      <c r="FC276" s="24"/>
      <c r="FD276" s="24"/>
      <c r="FE276" s="24"/>
      <c r="FF276" s="24"/>
      <c r="FG276" s="24"/>
      <c r="FH276" s="24"/>
      <c r="FI276" s="24"/>
      <c r="FJ276" s="24"/>
      <c r="FK276" s="24"/>
      <c r="FL276" s="24"/>
    </row>
    <row r="277" spans="1:168" ht="15.75" customHeight="1">
      <c r="A277" s="176"/>
      <c r="B277" s="177"/>
      <c r="C277" s="177"/>
      <c r="D277" s="177"/>
      <c r="E277" s="177"/>
      <c r="F277" s="177"/>
      <c r="G277" s="178"/>
      <c r="H277" s="179"/>
      <c r="J277" s="185"/>
      <c r="O277" s="182"/>
      <c r="P277" s="182"/>
      <c r="Q277" s="1"/>
      <c r="AC277" s="180"/>
      <c r="AD277" s="180"/>
      <c r="AE277" s="180"/>
      <c r="AJ277" s="191"/>
      <c r="BS277" s="181"/>
      <c r="CC277" s="24"/>
      <c r="CD277" s="24"/>
      <c r="CE277" s="24"/>
      <c r="CF277" s="24"/>
      <c r="CG277" s="24"/>
      <c r="CH277" s="24"/>
      <c r="CI277" s="24"/>
      <c r="CJ277" s="24"/>
      <c r="DE277" s="24"/>
      <c r="DF277" s="24"/>
      <c r="DG277" s="24"/>
      <c r="DH277" s="24"/>
      <c r="DI277" s="24"/>
      <c r="DJ277" s="24"/>
      <c r="DK277" s="24"/>
      <c r="DL277" s="24"/>
      <c r="DM277" s="24"/>
      <c r="DN277" s="24"/>
      <c r="DO277" s="24"/>
      <c r="DP277" s="24"/>
      <c r="DQ277" s="24"/>
      <c r="DR277" s="24"/>
      <c r="DS277" s="24"/>
      <c r="DT277" s="24"/>
      <c r="DU277" s="24"/>
      <c r="DV277" s="24"/>
      <c r="DW277" s="24"/>
      <c r="DX277" s="24"/>
      <c r="DY277" s="24"/>
      <c r="DZ277" s="24"/>
      <c r="EA277" s="24"/>
      <c r="EB277" s="24"/>
      <c r="EC277" s="24"/>
      <c r="ED277" s="24"/>
      <c r="EE277" s="24"/>
      <c r="EF277" s="24"/>
      <c r="EG277" s="24"/>
      <c r="EH277" s="24"/>
      <c r="EI277" s="24"/>
      <c r="EJ277" s="24"/>
      <c r="EK277" s="24"/>
      <c r="EL277" s="24"/>
      <c r="EM277" s="24"/>
      <c r="EN277" s="24"/>
      <c r="EO277" s="24"/>
      <c r="EP277" s="24"/>
      <c r="EQ277" s="24"/>
      <c r="ER277" s="24"/>
      <c r="ES277" s="24"/>
      <c r="ET277" s="24"/>
      <c r="EU277" s="24"/>
      <c r="EV277" s="24"/>
      <c r="EW277" s="24"/>
      <c r="EX277" s="24"/>
      <c r="EY277" s="24"/>
      <c r="EZ277" s="24"/>
      <c r="FA277" s="24"/>
      <c r="FB277" s="24"/>
      <c r="FC277" s="24"/>
      <c r="FD277" s="24"/>
      <c r="FE277" s="24"/>
      <c r="FF277" s="24"/>
      <c r="FG277" s="24"/>
      <c r="FH277" s="24"/>
      <c r="FI277" s="24"/>
      <c r="FJ277" s="24"/>
      <c r="FK277" s="24"/>
      <c r="FL277" s="24"/>
    </row>
    <row r="278" spans="1:168" ht="15.75" customHeight="1">
      <c r="A278" s="176"/>
      <c r="B278" s="177"/>
      <c r="C278" s="177"/>
      <c r="D278" s="177"/>
      <c r="E278" s="177"/>
      <c r="F278" s="177"/>
      <c r="G278" s="178"/>
      <c r="H278" s="179"/>
      <c r="J278" s="185"/>
      <c r="O278" s="182"/>
      <c r="P278" s="182"/>
      <c r="Q278" s="1"/>
      <c r="AC278" s="180"/>
      <c r="AD278" s="180"/>
      <c r="AE278" s="180"/>
      <c r="AJ278" s="191"/>
      <c r="BS278" s="181"/>
      <c r="CC278" s="24"/>
      <c r="CD278" s="24"/>
      <c r="CE278" s="24"/>
      <c r="CF278" s="24"/>
      <c r="CG278" s="24"/>
      <c r="CH278" s="24"/>
      <c r="CI278" s="24"/>
      <c r="CJ278" s="24"/>
      <c r="DE278" s="24"/>
      <c r="DF278" s="24"/>
      <c r="DG278" s="24"/>
      <c r="DH278" s="24"/>
      <c r="DI278" s="24"/>
      <c r="DJ278" s="24"/>
      <c r="DK278" s="24"/>
      <c r="DL278" s="24"/>
      <c r="DM278" s="24"/>
      <c r="DN278" s="24"/>
      <c r="DO278" s="24"/>
      <c r="DP278" s="24"/>
      <c r="DQ278" s="24"/>
      <c r="DR278" s="24"/>
      <c r="DS278" s="24"/>
      <c r="DT278" s="24"/>
      <c r="DU278" s="24"/>
      <c r="DV278" s="24"/>
      <c r="DW278" s="24"/>
      <c r="DX278" s="24"/>
      <c r="DY278" s="24"/>
      <c r="DZ278" s="24"/>
      <c r="EA278" s="24"/>
      <c r="EB278" s="24"/>
      <c r="EC278" s="24"/>
      <c r="ED278" s="24"/>
      <c r="EE278" s="24"/>
      <c r="EF278" s="24"/>
      <c r="EG278" s="24"/>
      <c r="EH278" s="24"/>
      <c r="EI278" s="24"/>
      <c r="EJ278" s="24"/>
      <c r="EK278" s="24"/>
      <c r="EL278" s="24"/>
      <c r="EM278" s="24"/>
      <c r="EN278" s="24"/>
      <c r="EO278" s="24"/>
      <c r="EP278" s="24"/>
      <c r="EQ278" s="24"/>
      <c r="ER278" s="24"/>
      <c r="ES278" s="24"/>
      <c r="ET278" s="24"/>
      <c r="EU278" s="24"/>
      <c r="EV278" s="24"/>
      <c r="EW278" s="24"/>
      <c r="EX278" s="24"/>
      <c r="EY278" s="24"/>
      <c r="EZ278" s="24"/>
      <c r="FA278" s="24"/>
      <c r="FB278" s="24"/>
      <c r="FC278" s="24"/>
      <c r="FD278" s="24"/>
      <c r="FE278" s="24"/>
      <c r="FF278" s="24"/>
      <c r="FG278" s="24"/>
      <c r="FH278" s="24"/>
      <c r="FI278" s="24"/>
      <c r="FJ278" s="24"/>
      <c r="FK278" s="24"/>
      <c r="FL278" s="24"/>
    </row>
    <row r="279" spans="1:168" ht="15.75" customHeight="1">
      <c r="A279" s="176"/>
      <c r="B279" s="177"/>
      <c r="C279" s="177"/>
      <c r="D279" s="177"/>
      <c r="E279" s="177"/>
      <c r="F279" s="177"/>
      <c r="G279" s="178"/>
      <c r="H279" s="179"/>
      <c r="J279" s="185"/>
      <c r="O279" s="182"/>
      <c r="P279" s="182"/>
      <c r="Q279" s="1"/>
      <c r="AC279" s="180"/>
      <c r="AD279" s="180"/>
      <c r="AE279" s="180"/>
      <c r="AJ279" s="191"/>
      <c r="BS279" s="181"/>
      <c r="CC279" s="24"/>
      <c r="CD279" s="24"/>
      <c r="CE279" s="24"/>
      <c r="CF279" s="24"/>
      <c r="CG279" s="24"/>
      <c r="CH279" s="24"/>
      <c r="CI279" s="24"/>
      <c r="CJ279" s="24"/>
      <c r="DE279" s="24"/>
      <c r="DF279" s="24"/>
      <c r="DG279" s="24"/>
      <c r="DH279" s="24"/>
      <c r="DI279" s="24"/>
      <c r="DJ279" s="24"/>
      <c r="DK279" s="24"/>
      <c r="DL279" s="24"/>
      <c r="DM279" s="24"/>
      <c r="DN279" s="24"/>
      <c r="DO279" s="24"/>
      <c r="DP279" s="24"/>
      <c r="DQ279" s="24"/>
      <c r="DR279" s="24"/>
      <c r="DS279" s="24"/>
      <c r="DT279" s="24"/>
      <c r="DU279" s="24"/>
      <c r="DV279" s="24"/>
      <c r="DW279" s="24"/>
      <c r="DX279" s="24"/>
      <c r="DY279" s="24"/>
      <c r="DZ279" s="24"/>
      <c r="EA279" s="24"/>
      <c r="EB279" s="24"/>
      <c r="EC279" s="24"/>
      <c r="ED279" s="24"/>
      <c r="EE279" s="24"/>
      <c r="EF279" s="24"/>
      <c r="EG279" s="24"/>
      <c r="EH279" s="24"/>
      <c r="EI279" s="24"/>
      <c r="EJ279" s="24"/>
      <c r="EK279" s="24"/>
      <c r="EL279" s="24"/>
      <c r="EM279" s="24"/>
      <c r="EN279" s="24"/>
      <c r="EO279" s="24"/>
      <c r="EP279" s="24"/>
      <c r="EQ279" s="24"/>
      <c r="ER279" s="24"/>
      <c r="ES279" s="24"/>
      <c r="ET279" s="24"/>
      <c r="EU279" s="24"/>
      <c r="EV279" s="24"/>
      <c r="EW279" s="24"/>
      <c r="EX279" s="24"/>
      <c r="EY279" s="24"/>
      <c r="EZ279" s="24"/>
      <c r="FA279" s="24"/>
      <c r="FB279" s="24"/>
      <c r="FC279" s="24"/>
      <c r="FD279" s="24"/>
      <c r="FE279" s="24"/>
      <c r="FF279" s="24"/>
      <c r="FG279" s="24"/>
      <c r="FH279" s="24"/>
      <c r="FI279" s="24"/>
      <c r="FJ279" s="24"/>
      <c r="FK279" s="24"/>
      <c r="FL279" s="24"/>
    </row>
    <row r="280" spans="1:168" ht="15.75" customHeight="1">
      <c r="A280" s="176"/>
      <c r="B280" s="177"/>
      <c r="C280" s="177"/>
      <c r="D280" s="177"/>
      <c r="E280" s="177"/>
      <c r="F280" s="177"/>
      <c r="G280" s="178"/>
      <c r="H280" s="179"/>
      <c r="J280" s="185"/>
      <c r="O280" s="182"/>
      <c r="P280" s="182"/>
      <c r="Q280" s="1"/>
      <c r="AC280" s="180"/>
      <c r="AD280" s="180"/>
      <c r="AE280" s="180"/>
      <c r="AJ280" s="191"/>
      <c r="BS280" s="181"/>
      <c r="CC280" s="24"/>
      <c r="CD280" s="24"/>
      <c r="CE280" s="24"/>
      <c r="CF280" s="24"/>
      <c r="CG280" s="24"/>
      <c r="CH280" s="24"/>
      <c r="CI280" s="24"/>
      <c r="CJ280" s="24"/>
      <c r="DE280" s="24"/>
      <c r="DF280" s="24"/>
      <c r="DG280" s="24"/>
      <c r="DH280" s="24"/>
      <c r="DI280" s="24"/>
      <c r="DJ280" s="24"/>
      <c r="DK280" s="24"/>
      <c r="DL280" s="24"/>
      <c r="DM280" s="24"/>
      <c r="DN280" s="24"/>
      <c r="DO280" s="24"/>
      <c r="DP280" s="24"/>
      <c r="DQ280" s="24"/>
      <c r="DR280" s="24"/>
      <c r="DS280" s="24"/>
      <c r="DT280" s="24"/>
      <c r="DU280" s="24"/>
      <c r="DV280" s="24"/>
      <c r="DW280" s="24"/>
      <c r="DX280" s="24"/>
      <c r="DY280" s="24"/>
      <c r="DZ280" s="24"/>
      <c r="EA280" s="24"/>
      <c r="EB280" s="24"/>
      <c r="EC280" s="24"/>
      <c r="ED280" s="24"/>
      <c r="EE280" s="24"/>
      <c r="EF280" s="24"/>
      <c r="EG280" s="24"/>
      <c r="EH280" s="24"/>
      <c r="EI280" s="24"/>
      <c r="EJ280" s="24"/>
      <c r="EK280" s="24"/>
      <c r="EL280" s="24"/>
      <c r="EM280" s="24"/>
      <c r="EN280" s="24"/>
      <c r="EO280" s="24"/>
      <c r="EP280" s="24"/>
      <c r="EQ280" s="24"/>
      <c r="ER280" s="24"/>
      <c r="ES280" s="24"/>
      <c r="ET280" s="24"/>
      <c r="EU280" s="24"/>
      <c r="EV280" s="24"/>
      <c r="EW280" s="24"/>
      <c r="EX280" s="24"/>
      <c r="EY280" s="24"/>
      <c r="EZ280" s="24"/>
      <c r="FA280" s="24"/>
      <c r="FB280" s="24"/>
      <c r="FC280" s="24"/>
      <c r="FD280" s="24"/>
      <c r="FE280" s="24"/>
      <c r="FF280" s="24"/>
      <c r="FG280" s="24"/>
      <c r="FH280" s="24"/>
      <c r="FI280" s="24"/>
      <c r="FJ280" s="24"/>
      <c r="FK280" s="24"/>
      <c r="FL280" s="24"/>
    </row>
    <row r="281" spans="1:168" ht="15.75" customHeight="1">
      <c r="A281" s="176"/>
      <c r="B281" s="177"/>
      <c r="C281" s="177"/>
      <c r="D281" s="177"/>
      <c r="E281" s="177"/>
      <c r="F281" s="177"/>
      <c r="G281" s="178"/>
      <c r="H281" s="179"/>
      <c r="J281" s="185"/>
      <c r="O281" s="182"/>
      <c r="P281" s="182"/>
      <c r="Q281" s="1"/>
      <c r="AC281" s="180"/>
      <c r="AD281" s="180"/>
      <c r="AE281" s="180"/>
      <c r="AJ281" s="191"/>
      <c r="BS281" s="181"/>
      <c r="CC281" s="24"/>
      <c r="CD281" s="24"/>
      <c r="CE281" s="24"/>
      <c r="CF281" s="24"/>
      <c r="CG281" s="24"/>
      <c r="CH281" s="24"/>
      <c r="CI281" s="24"/>
      <c r="CJ281" s="24"/>
      <c r="DE281" s="24"/>
      <c r="DF281" s="24"/>
      <c r="DG281" s="24"/>
      <c r="DH281" s="24"/>
      <c r="DI281" s="24"/>
      <c r="DJ281" s="24"/>
      <c r="DK281" s="24"/>
      <c r="DL281" s="24"/>
      <c r="DM281" s="24"/>
      <c r="DN281" s="24"/>
      <c r="DO281" s="24"/>
      <c r="DP281" s="24"/>
      <c r="DQ281" s="24"/>
      <c r="DR281" s="24"/>
      <c r="DS281" s="24"/>
      <c r="DT281" s="24"/>
      <c r="DU281" s="24"/>
      <c r="DV281" s="24"/>
      <c r="DW281" s="24"/>
      <c r="DX281" s="24"/>
      <c r="DY281" s="24"/>
      <c r="DZ281" s="24"/>
      <c r="EA281" s="24"/>
      <c r="EB281" s="24"/>
      <c r="EC281" s="24"/>
      <c r="ED281" s="24"/>
      <c r="EE281" s="24"/>
      <c r="EF281" s="24"/>
      <c r="EG281" s="24"/>
      <c r="EH281" s="24"/>
      <c r="EI281" s="24"/>
      <c r="EJ281" s="24"/>
      <c r="EK281" s="24"/>
      <c r="EL281" s="24"/>
      <c r="EM281" s="24"/>
      <c r="EN281" s="24"/>
      <c r="EO281" s="24"/>
      <c r="EP281" s="24"/>
      <c r="EQ281" s="24"/>
      <c r="ER281" s="24"/>
      <c r="ES281" s="24"/>
      <c r="ET281" s="24"/>
      <c r="EU281" s="24"/>
      <c r="EV281" s="24"/>
      <c r="EW281" s="24"/>
      <c r="EX281" s="24"/>
      <c r="EY281" s="24"/>
      <c r="EZ281" s="24"/>
      <c r="FA281" s="24"/>
      <c r="FB281" s="24"/>
      <c r="FC281" s="24"/>
      <c r="FD281" s="24"/>
      <c r="FE281" s="24"/>
      <c r="FF281" s="24"/>
      <c r="FG281" s="24"/>
      <c r="FH281" s="24"/>
      <c r="FI281" s="24"/>
      <c r="FJ281" s="24"/>
      <c r="FK281" s="24"/>
      <c r="FL281" s="24"/>
    </row>
    <row r="282" spans="1:168" ht="15.75" customHeight="1">
      <c r="A282" s="176"/>
      <c r="B282" s="177"/>
      <c r="C282" s="177"/>
      <c r="D282" s="177"/>
      <c r="E282" s="177"/>
      <c r="F282" s="177"/>
      <c r="G282" s="178"/>
      <c r="H282" s="179"/>
      <c r="J282" s="185"/>
      <c r="O282" s="182"/>
      <c r="P282" s="182"/>
      <c r="Q282" s="1"/>
      <c r="AC282" s="180"/>
      <c r="AD282" s="180"/>
      <c r="AE282" s="180"/>
      <c r="AJ282" s="191"/>
      <c r="BS282" s="181"/>
      <c r="CC282" s="24"/>
      <c r="CD282" s="24"/>
      <c r="CE282" s="24"/>
      <c r="CF282" s="24"/>
      <c r="CG282" s="24"/>
      <c r="CH282" s="24"/>
      <c r="CI282" s="24"/>
      <c r="CJ282" s="24"/>
      <c r="DE282" s="24"/>
      <c r="DF282" s="24"/>
      <c r="DG282" s="24"/>
      <c r="DH282" s="24"/>
      <c r="DI282" s="24"/>
      <c r="DJ282" s="24"/>
      <c r="DK282" s="24"/>
      <c r="DL282" s="24"/>
      <c r="DM282" s="24"/>
      <c r="DN282" s="24"/>
      <c r="DO282" s="24"/>
      <c r="DP282" s="24"/>
      <c r="DQ282" s="24"/>
      <c r="DR282" s="24"/>
      <c r="DS282" s="24"/>
      <c r="DT282" s="24"/>
      <c r="DU282" s="24"/>
      <c r="DV282" s="24"/>
      <c r="DW282" s="24"/>
      <c r="DX282" s="24"/>
      <c r="DY282" s="24"/>
      <c r="DZ282" s="24"/>
      <c r="EA282" s="24"/>
      <c r="EB282" s="24"/>
      <c r="EC282" s="24"/>
      <c r="ED282" s="24"/>
      <c r="EE282" s="24"/>
      <c r="EF282" s="24"/>
      <c r="EG282" s="24"/>
      <c r="EH282" s="24"/>
      <c r="EI282" s="24"/>
      <c r="EJ282" s="24"/>
      <c r="EK282" s="24"/>
      <c r="EL282" s="24"/>
      <c r="EM282" s="24"/>
      <c r="EN282" s="24"/>
      <c r="EO282" s="24"/>
      <c r="EP282" s="24"/>
      <c r="EQ282" s="24"/>
      <c r="ER282" s="24"/>
      <c r="ES282" s="24"/>
      <c r="ET282" s="24"/>
      <c r="EU282" s="24"/>
      <c r="EV282" s="24"/>
      <c r="EW282" s="24"/>
      <c r="EX282" s="24"/>
      <c r="EY282" s="24"/>
      <c r="EZ282" s="24"/>
      <c r="FA282" s="24"/>
      <c r="FB282" s="24"/>
      <c r="FC282" s="24"/>
      <c r="FD282" s="24"/>
      <c r="FE282" s="24"/>
      <c r="FF282" s="24"/>
      <c r="FG282" s="24"/>
      <c r="FH282" s="24"/>
      <c r="FI282" s="24"/>
      <c r="FJ282" s="24"/>
      <c r="FK282" s="24"/>
      <c r="FL282" s="24"/>
    </row>
    <row r="283" spans="1:168" ht="15.75" customHeight="1">
      <c r="A283" s="176"/>
      <c r="B283" s="177"/>
      <c r="C283" s="177"/>
      <c r="D283" s="177"/>
      <c r="E283" s="177"/>
      <c r="F283" s="177"/>
      <c r="G283" s="178"/>
      <c r="H283" s="179"/>
      <c r="J283" s="185"/>
      <c r="O283" s="182"/>
      <c r="P283" s="182"/>
      <c r="Q283" s="1"/>
      <c r="AC283" s="180"/>
      <c r="AD283" s="180"/>
      <c r="AE283" s="180"/>
      <c r="AJ283" s="191"/>
      <c r="BS283" s="181"/>
      <c r="CC283" s="24"/>
      <c r="CD283" s="24"/>
      <c r="CE283" s="24"/>
      <c r="CF283" s="24"/>
      <c r="CG283" s="24"/>
      <c r="CH283" s="24"/>
      <c r="CI283" s="24"/>
      <c r="CJ283" s="24"/>
      <c r="DE283" s="24"/>
      <c r="DF283" s="24"/>
      <c r="DG283" s="24"/>
      <c r="DH283" s="24"/>
      <c r="DI283" s="24"/>
      <c r="DJ283" s="24"/>
      <c r="DK283" s="24"/>
      <c r="DL283" s="24"/>
      <c r="DM283" s="24"/>
      <c r="DN283" s="24"/>
      <c r="DO283" s="24"/>
      <c r="DP283" s="24"/>
      <c r="DQ283" s="24"/>
      <c r="DR283" s="24"/>
      <c r="DS283" s="24"/>
      <c r="DT283" s="24"/>
      <c r="DU283" s="24"/>
      <c r="DV283" s="24"/>
      <c r="DW283" s="24"/>
      <c r="DX283" s="24"/>
      <c r="DY283" s="24"/>
      <c r="DZ283" s="24"/>
      <c r="EA283" s="24"/>
      <c r="EB283" s="24"/>
      <c r="EC283" s="24"/>
      <c r="ED283" s="24"/>
      <c r="EE283" s="24"/>
      <c r="EF283" s="24"/>
      <c r="EG283" s="24"/>
      <c r="EH283" s="24"/>
      <c r="EI283" s="24"/>
      <c r="EJ283" s="24"/>
      <c r="EK283" s="24"/>
      <c r="EL283" s="24"/>
      <c r="EM283" s="24"/>
      <c r="EN283" s="24"/>
      <c r="EO283" s="24"/>
      <c r="EP283" s="24"/>
      <c r="EQ283" s="24"/>
      <c r="ER283" s="24"/>
      <c r="ES283" s="24"/>
      <c r="ET283" s="24"/>
      <c r="EU283" s="24"/>
      <c r="EV283" s="24"/>
      <c r="EW283" s="24"/>
      <c r="EX283" s="24"/>
      <c r="EY283" s="24"/>
      <c r="EZ283" s="24"/>
      <c r="FA283" s="24"/>
      <c r="FB283" s="24"/>
      <c r="FC283" s="24"/>
      <c r="FD283" s="24"/>
      <c r="FE283" s="24"/>
      <c r="FF283" s="24"/>
      <c r="FG283" s="24"/>
      <c r="FH283" s="24"/>
      <c r="FI283" s="24"/>
      <c r="FJ283" s="24"/>
      <c r="FK283" s="24"/>
      <c r="FL283" s="24"/>
    </row>
    <row r="284" spans="1:168" ht="15.75" customHeight="1">
      <c r="A284" s="176"/>
      <c r="B284" s="177"/>
      <c r="C284" s="177"/>
      <c r="D284" s="177"/>
      <c r="E284" s="177"/>
      <c r="F284" s="177"/>
      <c r="G284" s="178"/>
      <c r="H284" s="179"/>
      <c r="J284" s="185"/>
      <c r="O284" s="182"/>
      <c r="P284" s="182"/>
      <c r="Q284" s="1"/>
      <c r="AC284" s="180"/>
      <c r="AD284" s="180"/>
      <c r="AE284" s="180"/>
      <c r="AJ284" s="191"/>
      <c r="BS284" s="181"/>
      <c r="CC284" s="24"/>
      <c r="CD284" s="24"/>
      <c r="CE284" s="24"/>
      <c r="CF284" s="24"/>
      <c r="CG284" s="24"/>
      <c r="CH284" s="24"/>
      <c r="CI284" s="24"/>
      <c r="CJ284" s="24"/>
      <c r="DE284" s="24"/>
      <c r="DF284" s="24"/>
      <c r="DG284" s="24"/>
      <c r="DH284" s="24"/>
      <c r="DI284" s="24"/>
      <c r="DJ284" s="24"/>
      <c r="DK284" s="24"/>
      <c r="DL284" s="24"/>
      <c r="DM284" s="24"/>
      <c r="DN284" s="24"/>
      <c r="DO284" s="24"/>
      <c r="DP284" s="24"/>
      <c r="DQ284" s="24"/>
      <c r="DR284" s="24"/>
      <c r="DS284" s="24"/>
      <c r="DT284" s="24"/>
      <c r="DU284" s="24"/>
      <c r="DV284" s="24"/>
      <c r="DW284" s="24"/>
      <c r="DX284" s="24"/>
      <c r="DY284" s="24"/>
      <c r="DZ284" s="24"/>
      <c r="EA284" s="24"/>
      <c r="EB284" s="24"/>
      <c r="EC284" s="24"/>
      <c r="ED284" s="24"/>
      <c r="EE284" s="24"/>
      <c r="EF284" s="24"/>
      <c r="EG284" s="24"/>
      <c r="EH284" s="24"/>
      <c r="EI284" s="24"/>
      <c r="EJ284" s="24"/>
      <c r="EK284" s="24"/>
      <c r="EL284" s="24"/>
      <c r="EM284" s="24"/>
      <c r="EN284" s="24"/>
      <c r="EO284" s="24"/>
      <c r="EP284" s="24"/>
      <c r="EQ284" s="24"/>
      <c r="ER284" s="24"/>
      <c r="ES284" s="24"/>
      <c r="ET284" s="24"/>
      <c r="EU284" s="24"/>
      <c r="EV284" s="24"/>
      <c r="EW284" s="24"/>
      <c r="EX284" s="24"/>
      <c r="EY284" s="24"/>
      <c r="EZ284" s="24"/>
      <c r="FA284" s="24"/>
      <c r="FB284" s="24"/>
      <c r="FC284" s="24"/>
      <c r="FD284" s="24"/>
      <c r="FE284" s="24"/>
      <c r="FF284" s="24"/>
      <c r="FG284" s="24"/>
      <c r="FH284" s="24"/>
      <c r="FI284" s="24"/>
      <c r="FJ284" s="24"/>
      <c r="FK284" s="24"/>
      <c r="FL284" s="24"/>
    </row>
    <row r="285" spans="1:168" ht="15.75" customHeight="1">
      <c r="A285" s="176"/>
      <c r="B285" s="177"/>
      <c r="C285" s="177"/>
      <c r="D285" s="177"/>
      <c r="E285" s="177"/>
      <c r="F285" s="177"/>
      <c r="G285" s="178"/>
      <c r="H285" s="179"/>
      <c r="J285" s="185"/>
      <c r="O285" s="182"/>
      <c r="P285" s="182"/>
      <c r="Q285" s="1"/>
      <c r="AC285" s="180"/>
      <c r="AD285" s="180"/>
      <c r="AE285" s="180"/>
      <c r="AJ285" s="191"/>
      <c r="BS285" s="181"/>
      <c r="CC285" s="24"/>
      <c r="CD285" s="24"/>
      <c r="CE285" s="24"/>
      <c r="CF285" s="24"/>
      <c r="CG285" s="24"/>
      <c r="CH285" s="24"/>
      <c r="CI285" s="24"/>
      <c r="CJ285" s="24"/>
      <c r="DE285" s="24"/>
      <c r="DF285" s="24"/>
      <c r="DG285" s="24"/>
      <c r="DH285" s="24"/>
      <c r="DI285" s="24"/>
      <c r="DJ285" s="24"/>
      <c r="DK285" s="24"/>
      <c r="DL285" s="24"/>
      <c r="DM285" s="24"/>
      <c r="DN285" s="24"/>
      <c r="DO285" s="24"/>
      <c r="DP285" s="24"/>
      <c r="DQ285" s="24"/>
      <c r="DR285" s="24"/>
      <c r="DS285" s="24"/>
      <c r="DT285" s="24"/>
      <c r="DU285" s="24"/>
      <c r="DV285" s="24"/>
      <c r="DW285" s="24"/>
      <c r="DX285" s="24"/>
      <c r="DY285" s="24"/>
      <c r="DZ285" s="24"/>
      <c r="EA285" s="24"/>
      <c r="EB285" s="24"/>
      <c r="EC285" s="24"/>
      <c r="ED285" s="24"/>
      <c r="EE285" s="24"/>
      <c r="EF285" s="24"/>
      <c r="EG285" s="24"/>
      <c r="EH285" s="24"/>
      <c r="EI285" s="24"/>
      <c r="EJ285" s="24"/>
      <c r="EK285" s="24"/>
      <c r="EL285" s="24"/>
      <c r="EM285" s="24"/>
      <c r="EN285" s="24"/>
      <c r="EO285" s="24"/>
      <c r="EP285" s="24"/>
      <c r="EQ285" s="24"/>
      <c r="ER285" s="24"/>
      <c r="ES285" s="24"/>
      <c r="ET285" s="24"/>
      <c r="EU285" s="24"/>
      <c r="EV285" s="24"/>
      <c r="EW285" s="24"/>
      <c r="EX285" s="24"/>
      <c r="EY285" s="24"/>
      <c r="EZ285" s="24"/>
      <c r="FA285" s="24"/>
      <c r="FB285" s="24"/>
      <c r="FC285" s="24"/>
      <c r="FD285" s="24"/>
      <c r="FE285" s="24"/>
      <c r="FF285" s="24"/>
      <c r="FG285" s="24"/>
      <c r="FH285" s="24"/>
      <c r="FI285" s="24"/>
      <c r="FJ285" s="24"/>
      <c r="FK285" s="24"/>
      <c r="FL285" s="24"/>
    </row>
    <row r="286" spans="1:168" ht="15.75" customHeight="1">
      <c r="A286" s="176"/>
      <c r="B286" s="177"/>
      <c r="C286" s="177"/>
      <c r="D286" s="177"/>
      <c r="E286" s="177"/>
      <c r="F286" s="177"/>
      <c r="G286" s="178"/>
      <c r="H286" s="179"/>
      <c r="J286" s="185"/>
      <c r="O286" s="182"/>
      <c r="P286" s="182"/>
      <c r="Q286" s="1"/>
      <c r="AC286" s="180"/>
      <c r="AD286" s="180"/>
      <c r="AE286" s="180"/>
      <c r="AJ286" s="191"/>
      <c r="BS286" s="181"/>
      <c r="CC286" s="24"/>
      <c r="CD286" s="24"/>
      <c r="CE286" s="24"/>
      <c r="CF286" s="24"/>
      <c r="CG286" s="24"/>
      <c r="CH286" s="24"/>
      <c r="CI286" s="24"/>
      <c r="CJ286" s="24"/>
      <c r="DE286" s="24"/>
      <c r="DF286" s="24"/>
      <c r="DG286" s="24"/>
      <c r="DH286" s="24"/>
      <c r="DI286" s="24"/>
      <c r="DJ286" s="24"/>
      <c r="DK286" s="24"/>
      <c r="DL286" s="24"/>
      <c r="DM286" s="24"/>
      <c r="DN286" s="24"/>
      <c r="DO286" s="24"/>
      <c r="DP286" s="24"/>
      <c r="DQ286" s="24"/>
      <c r="DR286" s="24"/>
      <c r="DS286" s="24"/>
      <c r="DT286" s="24"/>
      <c r="DU286" s="24"/>
      <c r="DV286" s="24"/>
      <c r="DW286" s="24"/>
      <c r="DX286" s="24"/>
      <c r="DY286" s="24"/>
      <c r="DZ286" s="24"/>
      <c r="EA286" s="24"/>
      <c r="EB286" s="24"/>
      <c r="EC286" s="24"/>
      <c r="ED286" s="24"/>
      <c r="EE286" s="24"/>
      <c r="EF286" s="24"/>
      <c r="EG286" s="24"/>
      <c r="EH286" s="24"/>
      <c r="EI286" s="24"/>
      <c r="EJ286" s="24"/>
      <c r="EK286" s="24"/>
      <c r="EL286" s="24"/>
      <c r="EM286" s="24"/>
      <c r="EN286" s="24"/>
      <c r="EO286" s="24"/>
      <c r="EP286" s="24"/>
      <c r="EQ286" s="24"/>
      <c r="ER286" s="24"/>
      <c r="ES286" s="24"/>
      <c r="ET286" s="24"/>
      <c r="EU286" s="24"/>
      <c r="EV286" s="24"/>
      <c r="EW286" s="24"/>
      <c r="EX286" s="24"/>
      <c r="EY286" s="24"/>
      <c r="EZ286" s="24"/>
      <c r="FA286" s="24"/>
      <c r="FB286" s="24"/>
      <c r="FC286" s="24"/>
      <c r="FD286" s="24"/>
      <c r="FE286" s="24"/>
      <c r="FF286" s="24"/>
      <c r="FG286" s="24"/>
      <c r="FH286" s="24"/>
      <c r="FI286" s="24"/>
      <c r="FJ286" s="24"/>
      <c r="FK286" s="24"/>
      <c r="FL286" s="24"/>
    </row>
    <row r="287" spans="1:168" ht="15.75" customHeight="1">
      <c r="A287" s="176"/>
      <c r="B287" s="177"/>
      <c r="C287" s="177"/>
      <c r="D287" s="177"/>
      <c r="E287" s="177"/>
      <c r="F287" s="177"/>
      <c r="G287" s="178"/>
      <c r="H287" s="179"/>
      <c r="J287" s="185"/>
      <c r="O287" s="182"/>
      <c r="P287" s="182"/>
      <c r="Q287" s="1"/>
      <c r="AC287" s="180"/>
      <c r="AD287" s="180"/>
      <c r="AE287" s="180"/>
      <c r="AJ287" s="191"/>
      <c r="BS287" s="181"/>
      <c r="CC287" s="24"/>
      <c r="CD287" s="24"/>
      <c r="CE287" s="24"/>
      <c r="CF287" s="24"/>
      <c r="CG287" s="24"/>
      <c r="CH287" s="24"/>
      <c r="CI287" s="24"/>
      <c r="CJ287" s="24"/>
      <c r="DE287" s="24"/>
      <c r="DF287" s="24"/>
      <c r="DG287" s="24"/>
      <c r="DH287" s="24"/>
      <c r="DI287" s="24"/>
      <c r="DJ287" s="24"/>
      <c r="DK287" s="24"/>
      <c r="DL287" s="24"/>
      <c r="DM287" s="24"/>
      <c r="DN287" s="24"/>
      <c r="DO287" s="24"/>
      <c r="DP287" s="24"/>
      <c r="DQ287" s="24"/>
      <c r="DR287" s="24"/>
      <c r="DS287" s="24"/>
      <c r="DT287" s="24"/>
      <c r="DU287" s="24"/>
      <c r="DV287" s="24"/>
      <c r="DW287" s="24"/>
      <c r="DX287" s="24"/>
      <c r="DY287" s="24"/>
      <c r="DZ287" s="24"/>
      <c r="EA287" s="24"/>
      <c r="EB287" s="24"/>
      <c r="EC287" s="24"/>
      <c r="ED287" s="24"/>
      <c r="EE287" s="24"/>
      <c r="EF287" s="24"/>
      <c r="EG287" s="24"/>
      <c r="EH287" s="24"/>
      <c r="EI287" s="24"/>
      <c r="EJ287" s="24"/>
      <c r="EK287" s="24"/>
      <c r="EL287" s="24"/>
      <c r="EM287" s="24"/>
      <c r="EN287" s="24"/>
      <c r="EO287" s="24"/>
      <c r="EP287" s="24"/>
      <c r="EQ287" s="24"/>
      <c r="ER287" s="24"/>
      <c r="ES287" s="24"/>
      <c r="ET287" s="24"/>
      <c r="EU287" s="24"/>
      <c r="EV287" s="24"/>
      <c r="EW287" s="24"/>
      <c r="EX287" s="24"/>
      <c r="EY287" s="24"/>
      <c r="EZ287" s="24"/>
      <c r="FA287" s="24"/>
      <c r="FB287" s="24"/>
      <c r="FC287" s="24"/>
      <c r="FD287" s="24"/>
      <c r="FE287" s="24"/>
      <c r="FF287" s="24"/>
      <c r="FG287" s="24"/>
      <c r="FH287" s="24"/>
      <c r="FI287" s="24"/>
      <c r="FJ287" s="24"/>
      <c r="FK287" s="24"/>
      <c r="FL287" s="24"/>
    </row>
    <row r="288" spans="1:168" ht="15.75" customHeight="1">
      <c r="A288" s="176"/>
      <c r="B288" s="177"/>
      <c r="C288" s="177"/>
      <c r="D288" s="177"/>
      <c r="E288" s="177"/>
      <c r="F288" s="177"/>
      <c r="G288" s="178"/>
      <c r="H288" s="179"/>
      <c r="J288" s="185"/>
      <c r="O288" s="182"/>
      <c r="P288" s="182"/>
      <c r="Q288" s="1"/>
      <c r="AC288" s="180"/>
      <c r="AD288" s="180"/>
      <c r="AE288" s="180"/>
      <c r="AJ288" s="191"/>
      <c r="BS288" s="181"/>
      <c r="CC288" s="24"/>
      <c r="CD288" s="24"/>
      <c r="CE288" s="24"/>
      <c r="CF288" s="24"/>
      <c r="CG288" s="24"/>
      <c r="CH288" s="24"/>
      <c r="CI288" s="24"/>
      <c r="CJ288" s="24"/>
      <c r="DE288" s="24"/>
      <c r="DF288" s="24"/>
      <c r="DG288" s="24"/>
      <c r="DH288" s="24"/>
      <c r="DI288" s="24"/>
      <c r="DJ288" s="24"/>
      <c r="DK288" s="24"/>
      <c r="DL288" s="24"/>
      <c r="DM288" s="24"/>
      <c r="DN288" s="24"/>
      <c r="DO288" s="24"/>
      <c r="DP288" s="24"/>
      <c r="DQ288" s="24"/>
      <c r="DR288" s="24"/>
      <c r="DS288" s="24"/>
      <c r="DT288" s="24"/>
      <c r="DU288" s="24"/>
      <c r="DV288" s="24"/>
      <c r="DW288" s="24"/>
      <c r="DX288" s="24"/>
      <c r="DY288" s="24"/>
      <c r="DZ288" s="24"/>
      <c r="EA288" s="24"/>
      <c r="EB288" s="24"/>
      <c r="EC288" s="24"/>
      <c r="ED288" s="24"/>
      <c r="EE288" s="24"/>
      <c r="EF288" s="24"/>
      <c r="EG288" s="24"/>
      <c r="EH288" s="24"/>
      <c r="EI288" s="24"/>
      <c r="EJ288" s="24"/>
      <c r="EK288" s="24"/>
      <c r="EL288" s="24"/>
      <c r="EM288" s="24"/>
      <c r="EN288" s="24"/>
      <c r="EO288" s="24"/>
      <c r="EP288" s="24"/>
      <c r="EQ288" s="24"/>
      <c r="ER288" s="24"/>
      <c r="ES288" s="24"/>
      <c r="ET288" s="24"/>
      <c r="EU288" s="24"/>
      <c r="EV288" s="24"/>
      <c r="EW288" s="24"/>
      <c r="EX288" s="24"/>
      <c r="EY288" s="24"/>
      <c r="EZ288" s="24"/>
      <c r="FA288" s="24"/>
      <c r="FB288" s="24"/>
      <c r="FC288" s="24"/>
      <c r="FD288" s="24"/>
      <c r="FE288" s="24"/>
      <c r="FF288" s="24"/>
      <c r="FG288" s="24"/>
      <c r="FH288" s="24"/>
      <c r="FI288" s="24"/>
      <c r="FJ288" s="24"/>
      <c r="FK288" s="24"/>
      <c r="FL288" s="24"/>
    </row>
    <row r="289" spans="1:168" ht="15.75" customHeight="1">
      <c r="A289" s="176"/>
      <c r="B289" s="177"/>
      <c r="C289" s="177"/>
      <c r="D289" s="177"/>
      <c r="E289" s="177"/>
      <c r="F289" s="177"/>
      <c r="G289" s="178"/>
      <c r="H289" s="179"/>
      <c r="J289" s="185"/>
      <c r="O289" s="182"/>
      <c r="P289" s="182"/>
      <c r="Q289" s="1"/>
      <c r="AC289" s="180"/>
      <c r="AD289" s="180"/>
      <c r="AE289" s="180"/>
      <c r="AJ289" s="191"/>
      <c r="BS289" s="181"/>
      <c r="CC289" s="24"/>
      <c r="CD289" s="24"/>
      <c r="CE289" s="24"/>
      <c r="CF289" s="24"/>
      <c r="CG289" s="24"/>
      <c r="CH289" s="24"/>
      <c r="CI289" s="24"/>
      <c r="CJ289" s="24"/>
      <c r="DE289" s="24"/>
      <c r="DF289" s="24"/>
      <c r="DG289" s="24"/>
      <c r="DH289" s="24"/>
      <c r="DI289" s="24"/>
      <c r="DJ289" s="24"/>
      <c r="DK289" s="24"/>
      <c r="DL289" s="24"/>
      <c r="DM289" s="24"/>
      <c r="DN289" s="24"/>
      <c r="DO289" s="24"/>
      <c r="DP289" s="24"/>
      <c r="DQ289" s="24"/>
      <c r="DR289" s="24"/>
      <c r="DS289" s="24"/>
      <c r="DT289" s="24"/>
      <c r="DU289" s="24"/>
      <c r="DV289" s="24"/>
      <c r="DW289" s="24"/>
      <c r="DX289" s="24"/>
      <c r="DY289" s="24"/>
      <c r="DZ289" s="24"/>
      <c r="EA289" s="24"/>
      <c r="EB289" s="24"/>
      <c r="EC289" s="24"/>
      <c r="ED289" s="24"/>
      <c r="EE289" s="24"/>
      <c r="EF289" s="24"/>
      <c r="EG289" s="24"/>
      <c r="EH289" s="24"/>
      <c r="EI289" s="24"/>
      <c r="EJ289" s="24"/>
      <c r="EK289" s="24"/>
      <c r="EL289" s="24"/>
      <c r="EM289" s="24"/>
      <c r="EN289" s="24"/>
      <c r="EO289" s="24"/>
      <c r="EP289" s="24"/>
      <c r="EQ289" s="24"/>
      <c r="ER289" s="24"/>
      <c r="ES289" s="24"/>
      <c r="ET289" s="24"/>
      <c r="EU289" s="24"/>
      <c r="EV289" s="24"/>
      <c r="EW289" s="24"/>
      <c r="EX289" s="24"/>
      <c r="EY289" s="24"/>
      <c r="EZ289" s="24"/>
      <c r="FA289" s="24"/>
      <c r="FB289" s="24"/>
      <c r="FC289" s="24"/>
      <c r="FD289" s="24"/>
      <c r="FE289" s="24"/>
      <c r="FF289" s="24"/>
      <c r="FG289" s="24"/>
      <c r="FH289" s="24"/>
      <c r="FI289" s="24"/>
      <c r="FJ289" s="24"/>
      <c r="FK289" s="24"/>
      <c r="FL289" s="24"/>
    </row>
    <row r="290" spans="1:168" ht="15.75" customHeight="1">
      <c r="A290" s="176"/>
      <c r="B290" s="177"/>
      <c r="C290" s="177"/>
      <c r="D290" s="177"/>
      <c r="E290" s="177"/>
      <c r="F290" s="177"/>
      <c r="G290" s="178"/>
      <c r="H290" s="179"/>
      <c r="J290" s="185"/>
      <c r="O290" s="182"/>
      <c r="P290" s="182"/>
      <c r="Q290" s="1"/>
      <c r="AC290" s="180"/>
      <c r="AD290" s="180"/>
      <c r="AE290" s="180"/>
      <c r="AJ290" s="191"/>
      <c r="BS290" s="181"/>
      <c r="CC290" s="24"/>
      <c r="CD290" s="24"/>
      <c r="CE290" s="24"/>
      <c r="CF290" s="24"/>
      <c r="CG290" s="24"/>
      <c r="CH290" s="24"/>
      <c r="CI290" s="24"/>
      <c r="CJ290" s="24"/>
      <c r="DE290" s="24"/>
      <c r="DF290" s="24"/>
      <c r="DG290" s="24"/>
      <c r="DH290" s="24"/>
      <c r="DI290" s="24"/>
      <c r="DJ290" s="24"/>
      <c r="DK290" s="24"/>
      <c r="DL290" s="24"/>
      <c r="DM290" s="24"/>
      <c r="DN290" s="24"/>
      <c r="DO290" s="24"/>
      <c r="DP290" s="24"/>
      <c r="DQ290" s="24"/>
      <c r="DR290" s="24"/>
      <c r="DS290" s="24"/>
      <c r="DT290" s="24"/>
      <c r="DU290" s="24"/>
      <c r="DV290" s="24"/>
      <c r="DW290" s="24"/>
      <c r="DX290" s="24"/>
      <c r="DY290" s="24"/>
      <c r="DZ290" s="24"/>
      <c r="EA290" s="24"/>
      <c r="EB290" s="24"/>
      <c r="EC290" s="24"/>
      <c r="ED290" s="24"/>
      <c r="EE290" s="24"/>
      <c r="EF290" s="24"/>
      <c r="EG290" s="24"/>
      <c r="EH290" s="24"/>
      <c r="EI290" s="24"/>
      <c r="EJ290" s="24"/>
      <c r="EK290" s="24"/>
      <c r="EL290" s="24"/>
      <c r="EM290" s="24"/>
      <c r="EN290" s="24"/>
      <c r="EO290" s="24"/>
      <c r="EP290" s="24"/>
      <c r="EQ290" s="24"/>
      <c r="ER290" s="24"/>
      <c r="ES290" s="24"/>
      <c r="ET290" s="24"/>
      <c r="EU290" s="24"/>
      <c r="EV290" s="24"/>
      <c r="EW290" s="24"/>
      <c r="EX290" s="24"/>
      <c r="EY290" s="24"/>
      <c r="EZ290" s="24"/>
      <c r="FA290" s="24"/>
      <c r="FB290" s="24"/>
      <c r="FC290" s="24"/>
      <c r="FD290" s="24"/>
      <c r="FE290" s="24"/>
      <c r="FF290" s="24"/>
      <c r="FG290" s="24"/>
      <c r="FH290" s="24"/>
      <c r="FI290" s="24"/>
      <c r="FJ290" s="24"/>
      <c r="FK290" s="24"/>
      <c r="FL290" s="24"/>
    </row>
    <row r="291" spans="1:168" ht="15.75" customHeight="1">
      <c r="A291" s="176"/>
      <c r="B291" s="177"/>
      <c r="C291" s="177"/>
      <c r="D291" s="177"/>
      <c r="E291" s="177"/>
      <c r="F291" s="177"/>
      <c r="G291" s="178"/>
      <c r="H291" s="179"/>
      <c r="J291" s="185"/>
      <c r="O291" s="182"/>
      <c r="P291" s="182"/>
      <c r="Q291" s="1"/>
      <c r="AC291" s="180"/>
      <c r="AD291" s="180"/>
      <c r="AE291" s="180"/>
      <c r="AJ291" s="191"/>
      <c r="BS291" s="181"/>
      <c r="CC291" s="24"/>
      <c r="CD291" s="24"/>
      <c r="CE291" s="24"/>
      <c r="CF291" s="24"/>
      <c r="CG291" s="24"/>
      <c r="CH291" s="24"/>
      <c r="CI291" s="24"/>
      <c r="CJ291" s="24"/>
      <c r="DE291" s="24"/>
      <c r="DF291" s="24"/>
      <c r="DG291" s="24"/>
      <c r="DH291" s="24"/>
      <c r="DI291" s="24"/>
      <c r="DJ291" s="24"/>
      <c r="DK291" s="24"/>
      <c r="DL291" s="24"/>
      <c r="DM291" s="24"/>
      <c r="DN291" s="24"/>
      <c r="DO291" s="24"/>
      <c r="DP291" s="24"/>
      <c r="DQ291" s="24"/>
      <c r="DR291" s="24"/>
      <c r="DS291" s="24"/>
      <c r="DT291" s="24"/>
      <c r="DU291" s="24"/>
      <c r="DV291" s="24"/>
      <c r="DW291" s="24"/>
      <c r="DX291" s="24"/>
      <c r="DY291" s="24"/>
      <c r="DZ291" s="24"/>
      <c r="EA291" s="24"/>
      <c r="EB291" s="24"/>
      <c r="EC291" s="24"/>
      <c r="ED291" s="24"/>
      <c r="EE291" s="24"/>
      <c r="EF291" s="24"/>
      <c r="EG291" s="24"/>
      <c r="EH291" s="24"/>
      <c r="EI291" s="24"/>
      <c r="EJ291" s="24"/>
      <c r="EK291" s="24"/>
      <c r="EL291" s="24"/>
      <c r="EM291" s="24"/>
      <c r="EN291" s="24"/>
      <c r="EO291" s="24"/>
      <c r="EP291" s="24"/>
      <c r="EQ291" s="24"/>
      <c r="ER291" s="24"/>
      <c r="ES291" s="24"/>
      <c r="ET291" s="24"/>
      <c r="EU291" s="24"/>
      <c r="EV291" s="24"/>
      <c r="EW291" s="24"/>
      <c r="EX291" s="24"/>
      <c r="EY291" s="24"/>
      <c r="EZ291" s="24"/>
      <c r="FA291" s="24"/>
      <c r="FB291" s="24"/>
      <c r="FC291" s="24"/>
      <c r="FD291" s="24"/>
      <c r="FE291" s="24"/>
      <c r="FF291" s="24"/>
      <c r="FG291" s="24"/>
      <c r="FH291" s="24"/>
      <c r="FI291" s="24"/>
      <c r="FJ291" s="24"/>
      <c r="FK291" s="24"/>
      <c r="FL291" s="24"/>
    </row>
    <row r="292" spans="1:168" ht="15.75" customHeight="1">
      <c r="A292" s="176"/>
      <c r="B292" s="177"/>
      <c r="C292" s="177"/>
      <c r="D292" s="177"/>
      <c r="E292" s="177"/>
      <c r="F292" s="177"/>
      <c r="G292" s="178"/>
      <c r="H292" s="179"/>
      <c r="J292" s="185"/>
      <c r="O292" s="182"/>
      <c r="P292" s="182"/>
      <c r="Q292" s="1"/>
      <c r="AC292" s="180"/>
      <c r="AD292" s="180"/>
      <c r="AE292" s="180"/>
      <c r="AJ292" s="191"/>
      <c r="BS292" s="181"/>
      <c r="CC292" s="24"/>
      <c r="CD292" s="24"/>
      <c r="CE292" s="24"/>
      <c r="CF292" s="24"/>
      <c r="CG292" s="24"/>
      <c r="CH292" s="24"/>
      <c r="CI292" s="24"/>
      <c r="CJ292" s="24"/>
      <c r="DE292" s="24"/>
      <c r="DF292" s="24"/>
      <c r="DG292" s="24"/>
      <c r="DH292" s="24"/>
      <c r="DI292" s="24"/>
      <c r="DJ292" s="24"/>
      <c r="DK292" s="24"/>
      <c r="DL292" s="24"/>
      <c r="DM292" s="24"/>
      <c r="DN292" s="24"/>
      <c r="DO292" s="24"/>
      <c r="DP292" s="24"/>
      <c r="DQ292" s="24"/>
      <c r="DR292" s="24"/>
      <c r="DS292" s="24"/>
      <c r="DT292" s="24"/>
      <c r="DU292" s="24"/>
      <c r="DV292" s="24"/>
      <c r="DW292" s="24"/>
      <c r="DX292" s="24"/>
      <c r="DY292" s="24"/>
      <c r="DZ292" s="24"/>
      <c r="EA292" s="24"/>
      <c r="EB292" s="24"/>
      <c r="EC292" s="24"/>
      <c r="ED292" s="24"/>
      <c r="EE292" s="24"/>
      <c r="EF292" s="24"/>
      <c r="EG292" s="24"/>
      <c r="EH292" s="24"/>
      <c r="EI292" s="24"/>
      <c r="EJ292" s="24"/>
      <c r="EK292" s="24"/>
      <c r="EL292" s="24"/>
      <c r="EM292" s="24"/>
      <c r="EN292" s="24"/>
      <c r="EO292" s="24"/>
      <c r="EP292" s="24"/>
      <c r="EQ292" s="24"/>
      <c r="ER292" s="24"/>
      <c r="ES292" s="24"/>
      <c r="ET292" s="24"/>
      <c r="EU292" s="24"/>
      <c r="EV292" s="24"/>
      <c r="EW292" s="24"/>
      <c r="EX292" s="24"/>
      <c r="EY292" s="24"/>
      <c r="EZ292" s="24"/>
      <c r="FA292" s="24"/>
      <c r="FB292" s="24"/>
      <c r="FC292" s="24"/>
      <c r="FD292" s="24"/>
      <c r="FE292" s="24"/>
      <c r="FF292" s="24"/>
      <c r="FG292" s="24"/>
      <c r="FH292" s="24"/>
      <c r="FI292" s="24"/>
      <c r="FJ292" s="24"/>
      <c r="FK292" s="24"/>
      <c r="FL292" s="24"/>
    </row>
    <row r="293" spans="1:168" ht="15.75" customHeight="1">
      <c r="A293" s="176"/>
      <c r="B293" s="177"/>
      <c r="C293" s="177"/>
      <c r="D293" s="177"/>
      <c r="E293" s="177"/>
      <c r="F293" s="177"/>
      <c r="G293" s="178"/>
      <c r="H293" s="179"/>
      <c r="J293" s="185"/>
      <c r="O293" s="182"/>
      <c r="P293" s="182"/>
      <c r="Q293" s="1"/>
      <c r="AC293" s="180"/>
      <c r="AD293" s="180"/>
      <c r="AE293" s="180"/>
      <c r="AJ293" s="191"/>
      <c r="BS293" s="181"/>
      <c r="CC293" s="24"/>
      <c r="CD293" s="24"/>
      <c r="CE293" s="24"/>
      <c r="CF293" s="24"/>
      <c r="CG293" s="24"/>
      <c r="CH293" s="24"/>
      <c r="CI293" s="24"/>
      <c r="CJ293" s="24"/>
      <c r="DE293" s="24"/>
      <c r="DF293" s="24"/>
      <c r="DG293" s="24"/>
      <c r="DH293" s="24"/>
      <c r="DI293" s="24"/>
      <c r="DJ293" s="24"/>
      <c r="DK293" s="24"/>
      <c r="DL293" s="24"/>
      <c r="DM293" s="24"/>
      <c r="DN293" s="24"/>
      <c r="DO293" s="24"/>
      <c r="DP293" s="24"/>
      <c r="DQ293" s="24"/>
      <c r="DR293" s="24"/>
      <c r="DS293" s="24"/>
      <c r="DT293" s="24"/>
      <c r="DU293" s="24"/>
      <c r="DV293" s="24"/>
      <c r="DW293" s="24"/>
      <c r="DX293" s="24"/>
      <c r="DY293" s="24"/>
      <c r="DZ293" s="24"/>
      <c r="EA293" s="24"/>
      <c r="EB293" s="24"/>
      <c r="EC293" s="24"/>
      <c r="ED293" s="24"/>
      <c r="EE293" s="24"/>
      <c r="EF293" s="24"/>
      <c r="EG293" s="24"/>
      <c r="EH293" s="24"/>
      <c r="EI293" s="24"/>
      <c r="EJ293" s="24"/>
      <c r="EK293" s="24"/>
      <c r="EL293" s="24"/>
      <c r="EM293" s="24"/>
      <c r="EN293" s="24"/>
      <c r="EO293" s="24"/>
      <c r="EP293" s="24"/>
      <c r="EQ293" s="24"/>
      <c r="ER293" s="24"/>
      <c r="ES293" s="24"/>
      <c r="ET293" s="24"/>
      <c r="EU293" s="24"/>
      <c r="EV293" s="24"/>
      <c r="EW293" s="24"/>
      <c r="EX293" s="24"/>
      <c r="EY293" s="24"/>
      <c r="EZ293" s="24"/>
      <c r="FA293" s="24"/>
      <c r="FB293" s="24"/>
      <c r="FC293" s="24"/>
      <c r="FD293" s="24"/>
      <c r="FE293" s="24"/>
      <c r="FF293" s="24"/>
      <c r="FG293" s="24"/>
      <c r="FH293" s="24"/>
      <c r="FI293" s="24"/>
      <c r="FJ293" s="24"/>
      <c r="FK293" s="24"/>
      <c r="FL293" s="24"/>
    </row>
    <row r="294" spans="1:168" ht="15.75" customHeight="1">
      <c r="A294" s="176"/>
      <c r="B294" s="177"/>
      <c r="C294" s="177"/>
      <c r="D294" s="177"/>
      <c r="E294" s="177"/>
      <c r="F294" s="177"/>
      <c r="G294" s="178"/>
      <c r="H294" s="179"/>
      <c r="J294" s="185"/>
      <c r="O294" s="182"/>
      <c r="P294" s="182"/>
      <c r="Q294" s="1"/>
      <c r="AC294" s="180"/>
      <c r="AD294" s="180"/>
      <c r="AE294" s="180"/>
      <c r="AJ294" s="191"/>
      <c r="BS294" s="181"/>
      <c r="CC294" s="24"/>
      <c r="CD294" s="24"/>
      <c r="CE294" s="24"/>
      <c r="CF294" s="24"/>
      <c r="CG294" s="24"/>
      <c r="CH294" s="24"/>
      <c r="CI294" s="24"/>
      <c r="CJ294" s="24"/>
      <c r="DE294" s="24"/>
      <c r="DF294" s="24"/>
      <c r="DG294" s="24"/>
      <c r="DH294" s="24"/>
      <c r="DI294" s="24"/>
      <c r="DJ294" s="24"/>
      <c r="DK294" s="24"/>
      <c r="DL294" s="24"/>
      <c r="DM294" s="24"/>
      <c r="DN294" s="24"/>
      <c r="DO294" s="24"/>
      <c r="DP294" s="24"/>
      <c r="DQ294" s="24"/>
      <c r="DR294" s="24"/>
      <c r="DS294" s="24"/>
      <c r="DT294" s="24"/>
      <c r="DU294" s="24"/>
      <c r="DV294" s="24"/>
      <c r="DW294" s="24"/>
      <c r="DX294" s="24"/>
      <c r="DY294" s="24"/>
      <c r="DZ294" s="24"/>
      <c r="EA294" s="24"/>
      <c r="EB294" s="24"/>
      <c r="EC294" s="24"/>
      <c r="ED294" s="24"/>
      <c r="EE294" s="24"/>
      <c r="EF294" s="24"/>
      <c r="EG294" s="24"/>
      <c r="EH294" s="24"/>
      <c r="EI294" s="24"/>
      <c r="EJ294" s="24"/>
      <c r="EK294" s="24"/>
      <c r="EL294" s="24"/>
      <c r="EM294" s="24"/>
      <c r="EN294" s="24"/>
      <c r="EO294" s="24"/>
      <c r="EP294" s="24"/>
      <c r="EQ294" s="24"/>
      <c r="ER294" s="24"/>
      <c r="ES294" s="24"/>
      <c r="ET294" s="24"/>
      <c r="EU294" s="24"/>
      <c r="EV294" s="24"/>
      <c r="EW294" s="24"/>
      <c r="EX294" s="24"/>
      <c r="EY294" s="24"/>
      <c r="EZ294" s="24"/>
      <c r="FA294" s="24"/>
      <c r="FB294" s="24"/>
      <c r="FC294" s="24"/>
      <c r="FD294" s="24"/>
      <c r="FE294" s="24"/>
      <c r="FF294" s="24"/>
      <c r="FG294" s="24"/>
      <c r="FH294" s="24"/>
      <c r="FI294" s="24"/>
      <c r="FJ294" s="24"/>
      <c r="FK294" s="24"/>
      <c r="FL294" s="24"/>
    </row>
    <row r="295" spans="1:168" ht="15.75" customHeight="1">
      <c r="A295" s="176"/>
      <c r="B295" s="177"/>
      <c r="C295" s="177"/>
      <c r="D295" s="177"/>
      <c r="E295" s="177"/>
      <c r="F295" s="177"/>
      <c r="G295" s="178"/>
      <c r="H295" s="179"/>
      <c r="J295" s="185"/>
      <c r="O295" s="182"/>
      <c r="P295" s="182"/>
      <c r="Q295" s="1"/>
      <c r="AC295" s="180"/>
      <c r="AD295" s="180"/>
      <c r="AE295" s="180"/>
      <c r="AJ295" s="191"/>
      <c r="BS295" s="181"/>
      <c r="CC295" s="24"/>
      <c r="CD295" s="24"/>
      <c r="CE295" s="24"/>
      <c r="CF295" s="24"/>
      <c r="CG295" s="24"/>
      <c r="CH295" s="24"/>
      <c r="CI295" s="24"/>
      <c r="CJ295" s="24"/>
      <c r="DE295" s="24"/>
      <c r="DF295" s="24"/>
      <c r="DG295" s="24"/>
      <c r="DH295" s="24"/>
      <c r="DI295" s="24"/>
      <c r="DJ295" s="24"/>
      <c r="DK295" s="24"/>
      <c r="DL295" s="24"/>
      <c r="DM295" s="24"/>
      <c r="DN295" s="24"/>
      <c r="DO295" s="24"/>
      <c r="DP295" s="24"/>
      <c r="DQ295" s="24"/>
      <c r="DR295" s="24"/>
      <c r="DS295" s="24"/>
      <c r="DT295" s="24"/>
      <c r="DU295" s="24"/>
      <c r="DV295" s="24"/>
      <c r="DW295" s="24"/>
      <c r="DX295" s="24"/>
      <c r="DY295" s="24"/>
      <c r="DZ295" s="24"/>
      <c r="EA295" s="24"/>
      <c r="EB295" s="24"/>
      <c r="EC295" s="24"/>
      <c r="ED295" s="24"/>
      <c r="EE295" s="24"/>
      <c r="EF295" s="24"/>
      <c r="EG295" s="24"/>
      <c r="EH295" s="24"/>
      <c r="EI295" s="24"/>
      <c r="EJ295" s="24"/>
      <c r="EK295" s="24"/>
      <c r="EL295" s="24"/>
      <c r="EM295" s="24"/>
      <c r="EN295" s="24"/>
      <c r="EO295" s="24"/>
      <c r="EP295" s="24"/>
      <c r="EQ295" s="24"/>
      <c r="ER295" s="24"/>
      <c r="ES295" s="24"/>
      <c r="ET295" s="24"/>
      <c r="EU295" s="24"/>
      <c r="EV295" s="24"/>
      <c r="EW295" s="24"/>
      <c r="EX295" s="24"/>
      <c r="EY295" s="24"/>
      <c r="EZ295" s="24"/>
      <c r="FA295" s="24"/>
      <c r="FB295" s="24"/>
      <c r="FC295" s="24"/>
      <c r="FD295" s="24"/>
      <c r="FE295" s="24"/>
      <c r="FF295" s="24"/>
      <c r="FG295" s="24"/>
      <c r="FH295" s="24"/>
      <c r="FI295" s="24"/>
      <c r="FJ295" s="24"/>
      <c r="FK295" s="24"/>
      <c r="FL295" s="24"/>
    </row>
    <row r="296" spans="1:168" ht="15.75" customHeight="1">
      <c r="A296" s="176"/>
      <c r="B296" s="177"/>
      <c r="C296" s="177"/>
      <c r="D296" s="177"/>
      <c r="E296" s="177"/>
      <c r="F296" s="177"/>
      <c r="G296" s="178"/>
      <c r="H296" s="179"/>
      <c r="J296" s="185"/>
      <c r="O296" s="182"/>
      <c r="P296" s="182"/>
      <c r="Q296" s="1"/>
      <c r="AC296" s="180"/>
      <c r="AD296" s="180"/>
      <c r="AE296" s="180"/>
      <c r="AJ296" s="191"/>
      <c r="BS296" s="181"/>
      <c r="CC296" s="24"/>
      <c r="CD296" s="24"/>
      <c r="CE296" s="24"/>
      <c r="CF296" s="24"/>
      <c r="CG296" s="24"/>
      <c r="CH296" s="24"/>
      <c r="CI296" s="24"/>
      <c r="CJ296" s="24"/>
      <c r="DE296" s="24"/>
      <c r="DF296" s="24"/>
      <c r="DG296" s="24"/>
      <c r="DH296" s="24"/>
      <c r="DI296" s="24"/>
      <c r="DJ296" s="24"/>
      <c r="DK296" s="24"/>
      <c r="DL296" s="24"/>
      <c r="DM296" s="24"/>
      <c r="DN296" s="24"/>
      <c r="DO296" s="24"/>
      <c r="DP296" s="24"/>
      <c r="DQ296" s="24"/>
      <c r="DR296" s="24"/>
      <c r="DS296" s="24"/>
      <c r="DT296" s="24"/>
      <c r="DU296" s="24"/>
      <c r="DV296" s="24"/>
      <c r="DW296" s="24"/>
      <c r="DX296" s="24"/>
      <c r="DY296" s="24"/>
      <c r="DZ296" s="24"/>
      <c r="EA296" s="24"/>
      <c r="EB296" s="24"/>
      <c r="EC296" s="24"/>
      <c r="ED296" s="24"/>
      <c r="EE296" s="24"/>
      <c r="EF296" s="24"/>
      <c r="EG296" s="24"/>
      <c r="EH296" s="24"/>
      <c r="EI296" s="24"/>
      <c r="EJ296" s="24"/>
      <c r="EK296" s="24"/>
      <c r="EL296" s="24"/>
      <c r="EM296" s="24"/>
      <c r="EN296" s="24"/>
      <c r="EO296" s="24"/>
      <c r="EP296" s="24"/>
      <c r="EQ296" s="24"/>
      <c r="ER296" s="24"/>
      <c r="ES296" s="24"/>
      <c r="ET296" s="24"/>
      <c r="EU296" s="24"/>
      <c r="EV296" s="24"/>
      <c r="EW296" s="24"/>
      <c r="EX296" s="24"/>
      <c r="EY296" s="24"/>
      <c r="EZ296" s="24"/>
      <c r="FA296" s="24"/>
      <c r="FB296" s="24"/>
      <c r="FC296" s="24"/>
      <c r="FD296" s="24"/>
      <c r="FE296" s="24"/>
      <c r="FF296" s="24"/>
      <c r="FG296" s="24"/>
      <c r="FH296" s="24"/>
      <c r="FI296" s="24"/>
      <c r="FJ296" s="24"/>
      <c r="FK296" s="24"/>
      <c r="FL296" s="24"/>
    </row>
    <row r="297" spans="1:168" ht="15.75" customHeight="1">
      <c r="A297" s="176"/>
      <c r="B297" s="177"/>
      <c r="C297" s="177"/>
      <c r="D297" s="177"/>
      <c r="E297" s="177"/>
      <c r="F297" s="177"/>
      <c r="G297" s="178"/>
      <c r="H297" s="179"/>
      <c r="J297" s="185"/>
      <c r="O297" s="182"/>
      <c r="P297" s="182"/>
      <c r="Q297" s="1"/>
      <c r="AC297" s="180"/>
      <c r="AD297" s="180"/>
      <c r="AE297" s="180"/>
      <c r="AJ297" s="191"/>
      <c r="BS297" s="181"/>
      <c r="CC297" s="24"/>
      <c r="CD297" s="24"/>
      <c r="CE297" s="24"/>
      <c r="CF297" s="24"/>
      <c r="CG297" s="24"/>
      <c r="CH297" s="24"/>
      <c r="CI297" s="24"/>
      <c r="CJ297" s="24"/>
      <c r="DE297" s="24"/>
      <c r="DF297" s="24"/>
      <c r="DG297" s="24"/>
      <c r="DH297" s="24"/>
      <c r="DI297" s="24"/>
      <c r="DJ297" s="24"/>
      <c r="DK297" s="24"/>
      <c r="DL297" s="24"/>
      <c r="DM297" s="24"/>
      <c r="DN297" s="24"/>
      <c r="DO297" s="24"/>
      <c r="DP297" s="24"/>
      <c r="DQ297" s="24"/>
      <c r="DR297" s="24"/>
      <c r="DS297" s="24"/>
      <c r="DT297" s="24"/>
      <c r="DU297" s="24"/>
      <c r="DV297" s="24"/>
      <c r="DW297" s="24"/>
      <c r="DX297" s="24"/>
      <c r="DY297" s="24"/>
      <c r="DZ297" s="24"/>
      <c r="EA297" s="24"/>
      <c r="EB297" s="24"/>
      <c r="EC297" s="24"/>
      <c r="ED297" s="24"/>
      <c r="EE297" s="24"/>
      <c r="EF297" s="24"/>
      <c r="EG297" s="24"/>
      <c r="EH297" s="24"/>
      <c r="EI297" s="24"/>
      <c r="EJ297" s="24"/>
      <c r="EK297" s="24"/>
      <c r="EL297" s="24"/>
      <c r="EM297" s="24"/>
      <c r="EN297" s="24"/>
      <c r="EO297" s="24"/>
      <c r="EP297" s="24"/>
      <c r="EQ297" s="24"/>
      <c r="ER297" s="24"/>
      <c r="ES297" s="24"/>
      <c r="ET297" s="24"/>
      <c r="EU297" s="24"/>
      <c r="EV297" s="24"/>
      <c r="EW297" s="24"/>
      <c r="EX297" s="24"/>
      <c r="EY297" s="24"/>
      <c r="EZ297" s="24"/>
      <c r="FA297" s="24"/>
      <c r="FB297" s="24"/>
      <c r="FC297" s="24"/>
      <c r="FD297" s="24"/>
      <c r="FE297" s="24"/>
      <c r="FF297" s="24"/>
      <c r="FG297" s="24"/>
      <c r="FH297" s="24"/>
      <c r="FI297" s="24"/>
      <c r="FJ297" s="24"/>
      <c r="FK297" s="24"/>
      <c r="FL297" s="24"/>
    </row>
    <row r="298" spans="1:168" ht="15.75" customHeight="1">
      <c r="A298" s="176"/>
      <c r="B298" s="177"/>
      <c r="C298" s="177"/>
      <c r="D298" s="177"/>
      <c r="E298" s="177"/>
      <c r="F298" s="177"/>
      <c r="G298" s="178"/>
      <c r="H298" s="179"/>
      <c r="J298" s="185"/>
      <c r="O298" s="182"/>
      <c r="P298" s="182"/>
      <c r="Q298" s="1"/>
      <c r="AC298" s="180"/>
      <c r="AD298" s="180"/>
      <c r="AE298" s="180"/>
      <c r="AJ298" s="191"/>
      <c r="BS298" s="181"/>
      <c r="CC298" s="24"/>
      <c r="CD298" s="24"/>
      <c r="CE298" s="24"/>
      <c r="CF298" s="24"/>
      <c r="CG298" s="24"/>
      <c r="CH298" s="24"/>
      <c r="CI298" s="24"/>
      <c r="CJ298" s="24"/>
      <c r="DE298" s="24"/>
      <c r="DF298" s="24"/>
      <c r="DG298" s="24"/>
      <c r="DH298" s="24"/>
      <c r="DI298" s="24"/>
      <c r="DJ298" s="24"/>
      <c r="DK298" s="24"/>
      <c r="DL298" s="24"/>
      <c r="DM298" s="24"/>
      <c r="DN298" s="24"/>
      <c r="DO298" s="24"/>
      <c r="DP298" s="24"/>
      <c r="DQ298" s="24"/>
      <c r="DR298" s="24"/>
      <c r="DS298" s="24"/>
      <c r="DT298" s="24"/>
      <c r="DU298" s="24"/>
      <c r="DV298" s="24"/>
      <c r="DW298" s="24"/>
      <c r="DX298" s="24"/>
      <c r="DY298" s="24"/>
      <c r="DZ298" s="24"/>
      <c r="EA298" s="24"/>
      <c r="EB298" s="24"/>
      <c r="EC298" s="24"/>
      <c r="ED298" s="24"/>
      <c r="EE298" s="24"/>
      <c r="EF298" s="24"/>
      <c r="EG298" s="24"/>
      <c r="EH298" s="24"/>
      <c r="EI298" s="24"/>
      <c r="EJ298" s="24"/>
      <c r="EK298" s="24"/>
      <c r="EL298" s="24"/>
      <c r="EM298" s="24"/>
      <c r="EN298" s="24"/>
      <c r="EO298" s="24"/>
      <c r="EP298" s="24"/>
      <c r="EQ298" s="24"/>
      <c r="ER298" s="24"/>
      <c r="ES298" s="24"/>
      <c r="ET298" s="24"/>
      <c r="EU298" s="24"/>
      <c r="EV298" s="24"/>
      <c r="EW298" s="24"/>
      <c r="EX298" s="24"/>
      <c r="EY298" s="24"/>
      <c r="EZ298" s="24"/>
      <c r="FA298" s="24"/>
      <c r="FB298" s="24"/>
      <c r="FC298" s="24"/>
      <c r="FD298" s="24"/>
      <c r="FE298" s="24"/>
      <c r="FF298" s="24"/>
      <c r="FG298" s="24"/>
      <c r="FH298" s="24"/>
      <c r="FI298" s="24"/>
      <c r="FJ298" s="24"/>
      <c r="FK298" s="24"/>
      <c r="FL298" s="24"/>
    </row>
    <row r="299" spans="1:168">
      <c r="H299" s="19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39997558519241921"/>
  </sheetPr>
  <dimension ref="A1:BX880"/>
  <sheetViews>
    <sheetView showGridLines="0" zoomScale="115" zoomScaleNormal="115" workbookViewId="0">
      <selection activeCell="C2" sqref="C2"/>
    </sheetView>
  </sheetViews>
  <sheetFormatPr defaultColWidth="9.140625" defaultRowHeight="15"/>
  <cols>
    <col min="1" max="1" width="9.140625" customWidth="1"/>
    <col min="2" max="2" width="25.7109375" style="6" customWidth="1"/>
    <col min="3" max="3" width="11.28515625" style="6" bestFit="1" customWidth="1"/>
    <col min="4" max="4" width="11.28515625" style="6" customWidth="1"/>
    <col min="5" max="5" width="18.85546875" style="6" bestFit="1" customWidth="1"/>
    <col min="6" max="6" width="19.5703125" style="6" bestFit="1" customWidth="1"/>
    <col min="7" max="7" width="29.7109375" style="6" bestFit="1" customWidth="1"/>
    <col min="8" max="8" width="3.85546875" customWidth="1"/>
    <col min="9" max="9" width="25.7109375" style="6" customWidth="1"/>
    <col min="10" max="10" width="4.42578125" customWidth="1"/>
    <col min="11" max="11" width="4.28515625" customWidth="1"/>
    <col min="12" max="12" width="19.5703125" customWidth="1"/>
    <col min="13" max="13" width="3.7109375" customWidth="1"/>
    <col min="14" max="14" width="38" bestFit="1" customWidth="1"/>
    <col min="15" max="15" width="4" customWidth="1"/>
    <col min="16" max="16" width="60" customWidth="1"/>
    <col min="17" max="17" width="3.7109375" customWidth="1"/>
    <col min="18" max="18" width="3.85546875" customWidth="1"/>
    <col min="19" max="19" width="23.5703125" customWidth="1"/>
    <col min="20" max="20" width="20.5703125" customWidth="1"/>
    <col min="21" max="27" width="3.42578125" customWidth="1"/>
    <col min="28" max="28" width="49.140625" customWidth="1"/>
    <col min="29" max="29" width="3.42578125" customWidth="1"/>
    <col min="30" max="30" width="49.140625" customWidth="1"/>
    <col min="31" max="31" width="3.42578125" customWidth="1"/>
    <col min="32" max="32" width="44.85546875" bestFit="1" customWidth="1"/>
    <col min="33" max="33" width="3.42578125" customWidth="1"/>
    <col min="34" max="34" width="53.5703125" bestFit="1" customWidth="1"/>
    <col min="35" max="35" width="3.42578125" customWidth="1"/>
    <col min="36" max="36" width="53.42578125" bestFit="1" customWidth="1"/>
    <col min="37" max="53" width="3.42578125" customWidth="1"/>
    <col min="54" max="54" width="4.42578125" customWidth="1"/>
    <col min="55" max="57" width="11.5703125" customWidth="1"/>
    <col min="58" max="58" width="9.140625" style="6" customWidth="1"/>
    <col min="60" max="60" width="3.42578125" customWidth="1"/>
    <col min="61" max="61" width="42.5703125" customWidth="1"/>
    <col min="62" max="62" width="2.5703125" customWidth="1"/>
    <col min="63" max="63" width="76" customWidth="1"/>
    <col min="64" max="64" width="9.140625" customWidth="1"/>
    <col min="65" max="65" width="15.85546875" customWidth="1"/>
    <col min="66" max="66" width="12.42578125" customWidth="1"/>
    <col min="67" max="67" width="48.5703125" style="6" customWidth="1"/>
    <col min="68" max="69" width="9.140625" customWidth="1"/>
    <col min="73" max="73" width="59.28515625" bestFit="1" customWidth="1"/>
    <col min="75" max="75" width="48.5703125" bestFit="1" customWidth="1"/>
  </cols>
  <sheetData>
    <row r="1" spans="1:76" ht="15.75" customHeight="1" thickBot="1">
      <c r="B1" s="2" t="s">
        <v>211</v>
      </c>
      <c r="C1" s="2" t="s">
        <v>221</v>
      </c>
      <c r="D1" s="2" t="s">
        <v>205</v>
      </c>
      <c r="E1" s="2" t="s">
        <v>228</v>
      </c>
      <c r="F1" s="2" t="s">
        <v>229</v>
      </c>
      <c r="G1" s="2" t="s">
        <v>2474</v>
      </c>
      <c r="I1" s="2" t="s">
        <v>9</v>
      </c>
      <c r="L1" s="4" t="s">
        <v>180</v>
      </c>
      <c r="N1" s="2" t="s">
        <v>231</v>
      </c>
      <c r="P1" s="2" t="s">
        <v>10</v>
      </c>
      <c r="S1" s="243" t="s">
        <v>181</v>
      </c>
      <c r="T1" s="243"/>
      <c r="BC1" s="5" t="s">
        <v>493</v>
      </c>
      <c r="BD1" s="5" t="s">
        <v>492</v>
      </c>
      <c r="BE1" s="5" t="s">
        <v>1594</v>
      </c>
      <c r="BF1" s="5" t="s">
        <v>233</v>
      </c>
      <c r="BI1" s="5" t="s">
        <v>498</v>
      </c>
      <c r="BK1" s="5" t="s">
        <v>1546</v>
      </c>
      <c r="BO1" s="5" t="s">
        <v>10</v>
      </c>
      <c r="BU1" s="5" t="s">
        <v>1659</v>
      </c>
      <c r="BW1" s="5" t="s">
        <v>1672</v>
      </c>
      <c r="BX1" t="s">
        <v>1673</v>
      </c>
    </row>
    <row r="2" spans="1:76" ht="15.75" customHeight="1">
      <c r="A2" s="6">
        <v>1</v>
      </c>
      <c r="B2" s="8" t="s">
        <v>2798</v>
      </c>
      <c r="C2" s="8">
        <v>10665731</v>
      </c>
      <c r="D2" s="8" t="s">
        <v>2656</v>
      </c>
      <c r="E2" s="8" t="s">
        <v>2657</v>
      </c>
      <c r="F2" s="8" t="s">
        <v>2683</v>
      </c>
      <c r="G2" s="8" t="s">
        <v>443</v>
      </c>
      <c r="I2" s="7" t="s">
        <v>2658</v>
      </c>
      <c r="L2" t="s">
        <v>10</v>
      </c>
      <c r="N2" s="8" t="s">
        <v>224</v>
      </c>
      <c r="P2" t="s">
        <v>11</v>
      </c>
      <c r="S2" t="s">
        <v>10</v>
      </c>
      <c r="T2" t="s">
        <v>182</v>
      </c>
      <c r="BC2" s="10">
        <v>43101</v>
      </c>
      <c r="BD2" s="6">
        <v>1</v>
      </c>
      <c r="BE2" s="6" t="s">
        <v>1636</v>
      </c>
      <c r="BF2" s="6" t="s">
        <v>494</v>
      </c>
      <c r="BI2" s="6" t="s">
        <v>501</v>
      </c>
      <c r="BK2" s="6" t="s">
        <v>672</v>
      </c>
      <c r="BM2" t="s">
        <v>10</v>
      </c>
      <c r="BN2" t="s">
        <v>1559</v>
      </c>
      <c r="BO2" s="6" t="s">
        <v>1550</v>
      </c>
      <c r="BU2" t="s">
        <v>1661</v>
      </c>
      <c r="BW2" t="s">
        <v>1668</v>
      </c>
    </row>
    <row r="3" spans="1:76" ht="15.75" customHeight="1" thickBot="1">
      <c r="A3" s="6">
        <v>2</v>
      </c>
      <c r="B3" s="8"/>
      <c r="C3" s="138"/>
      <c r="D3" s="8"/>
      <c r="E3" s="138"/>
      <c r="F3" s="138"/>
      <c r="G3" s="8"/>
      <c r="I3" s="8"/>
      <c r="L3" t="s">
        <v>61</v>
      </c>
      <c r="N3" s="8" t="s">
        <v>226</v>
      </c>
      <c r="P3" t="s">
        <v>12</v>
      </c>
      <c r="S3" t="s">
        <v>34</v>
      </c>
      <c r="T3" t="s">
        <v>183</v>
      </c>
      <c r="BC3" s="10">
        <v>43108</v>
      </c>
      <c r="BD3" s="6">
        <v>2</v>
      </c>
      <c r="BE3" s="6" t="s">
        <v>1636</v>
      </c>
      <c r="BF3" s="6" t="s">
        <v>494</v>
      </c>
      <c r="BI3" s="6" t="s">
        <v>502</v>
      </c>
      <c r="BK3" s="6" t="s">
        <v>673</v>
      </c>
      <c r="BM3" t="s">
        <v>1549</v>
      </c>
      <c r="BN3" t="s">
        <v>1560</v>
      </c>
      <c r="BO3" s="6" t="s">
        <v>1551</v>
      </c>
      <c r="BQ3" s="6"/>
      <c r="BR3" s="6" t="s">
        <v>1578</v>
      </c>
      <c r="BU3" t="s">
        <v>1660</v>
      </c>
      <c r="BW3" t="s">
        <v>1669</v>
      </c>
    </row>
    <row r="4" spans="1:76" ht="15.75" customHeight="1" thickBot="1">
      <c r="A4" s="6">
        <v>3</v>
      </c>
      <c r="B4" s="8"/>
      <c r="C4" s="8"/>
      <c r="D4" s="8"/>
      <c r="E4" s="8"/>
      <c r="F4" s="8"/>
      <c r="G4" s="8"/>
      <c r="I4" s="8"/>
      <c r="L4" t="s">
        <v>142</v>
      </c>
      <c r="N4" s="8" t="s">
        <v>1653</v>
      </c>
      <c r="P4" t="s">
        <v>13</v>
      </c>
      <c r="S4" t="s">
        <v>1856</v>
      </c>
      <c r="T4" t="s">
        <v>184</v>
      </c>
      <c r="AB4" s="163" t="s">
        <v>208</v>
      </c>
      <c r="AD4" s="163" t="s">
        <v>209</v>
      </c>
      <c r="BC4" s="10">
        <v>43115</v>
      </c>
      <c r="BD4" s="6">
        <v>3</v>
      </c>
      <c r="BE4" s="6" t="s">
        <v>1636</v>
      </c>
      <c r="BF4" s="6" t="s">
        <v>494</v>
      </c>
      <c r="BI4" s="6" t="s">
        <v>2589</v>
      </c>
      <c r="BK4" s="6" t="s">
        <v>674</v>
      </c>
      <c r="BO4" s="6" t="s">
        <v>1552</v>
      </c>
      <c r="BQ4" s="6"/>
      <c r="BR4" s="6">
        <v>1</v>
      </c>
      <c r="BS4" t="s">
        <v>1572</v>
      </c>
      <c r="BU4" t="s">
        <v>1663</v>
      </c>
      <c r="BW4" t="s">
        <v>1670</v>
      </c>
    </row>
    <row r="5" spans="1:76" ht="15.75" customHeight="1">
      <c r="A5" s="6">
        <v>4</v>
      </c>
      <c r="B5" s="8"/>
      <c r="C5" s="8"/>
      <c r="D5" s="8"/>
      <c r="E5" s="8"/>
      <c r="F5" s="8"/>
      <c r="G5" s="8"/>
      <c r="I5" s="8"/>
      <c r="L5" t="s">
        <v>132</v>
      </c>
      <c r="N5" s="8" t="s">
        <v>227</v>
      </c>
      <c r="P5" t="s">
        <v>14</v>
      </c>
      <c r="S5" t="s">
        <v>54</v>
      </c>
      <c r="T5" t="s">
        <v>185</v>
      </c>
      <c r="AB5" s="162" t="s">
        <v>1925</v>
      </c>
      <c r="AC5" t="s">
        <v>2432</v>
      </c>
      <c r="AD5" s="162" t="s">
        <v>1609</v>
      </c>
      <c r="AE5" t="s">
        <v>2434</v>
      </c>
      <c r="BC5" s="10">
        <v>43122</v>
      </c>
      <c r="BD5" s="6">
        <v>4</v>
      </c>
      <c r="BE5" s="6" t="s">
        <v>1636</v>
      </c>
      <c r="BF5" s="6" t="s">
        <v>494</v>
      </c>
      <c r="BI5" s="6" t="s">
        <v>503</v>
      </c>
      <c r="BK5" s="6" t="s">
        <v>675</v>
      </c>
      <c r="BO5" s="6" t="s">
        <v>1553</v>
      </c>
      <c r="BQ5" s="6"/>
      <c r="BR5" s="6">
        <v>31</v>
      </c>
      <c r="BS5" t="s">
        <v>1573</v>
      </c>
      <c r="BU5" t="s">
        <v>1635</v>
      </c>
      <c r="BW5" t="s">
        <v>1667</v>
      </c>
    </row>
    <row r="6" spans="1:76" ht="15.75" customHeight="1">
      <c r="A6" s="6">
        <v>5</v>
      </c>
      <c r="B6" s="8"/>
      <c r="C6" s="8"/>
      <c r="D6" s="8"/>
      <c r="E6" s="8"/>
      <c r="F6" s="8"/>
      <c r="G6" s="8"/>
      <c r="I6" s="8"/>
      <c r="L6" t="s">
        <v>119</v>
      </c>
      <c r="N6" s="8" t="s">
        <v>1654</v>
      </c>
      <c r="P6" t="s">
        <v>15</v>
      </c>
      <c r="S6" t="s">
        <v>61</v>
      </c>
      <c r="T6" t="s">
        <v>186</v>
      </c>
      <c r="AB6" s="161" t="s">
        <v>1926</v>
      </c>
      <c r="AC6" t="s">
        <v>2433</v>
      </c>
      <c r="AD6" s="161" t="s">
        <v>1613</v>
      </c>
      <c r="AE6" t="s">
        <v>2435</v>
      </c>
      <c r="BC6" s="10">
        <v>43129</v>
      </c>
      <c r="BD6" s="6">
        <v>5</v>
      </c>
      <c r="BE6" s="6" t="s">
        <v>1637</v>
      </c>
      <c r="BF6" s="6" t="s">
        <v>494</v>
      </c>
      <c r="BI6" s="6" t="s">
        <v>504</v>
      </c>
      <c r="BK6" s="6" t="s">
        <v>676</v>
      </c>
      <c r="BO6" s="6" t="s">
        <v>1554</v>
      </c>
      <c r="BQ6" s="6"/>
      <c r="BR6" s="6">
        <v>61</v>
      </c>
      <c r="BS6" t="s">
        <v>1574</v>
      </c>
      <c r="BU6" t="s">
        <v>1662</v>
      </c>
    </row>
    <row r="7" spans="1:76" ht="15.75" customHeight="1" thickBot="1">
      <c r="A7" s="6">
        <v>6</v>
      </c>
      <c r="B7" s="8"/>
      <c r="C7" s="8"/>
      <c r="D7" s="8"/>
      <c r="E7" s="8"/>
      <c r="F7" s="8"/>
      <c r="G7" s="8"/>
      <c r="I7" s="8"/>
      <c r="L7" t="s">
        <v>82</v>
      </c>
      <c r="N7" s="8" t="s">
        <v>215</v>
      </c>
      <c r="P7" t="s">
        <v>16</v>
      </c>
      <c r="S7" t="s">
        <v>71</v>
      </c>
      <c r="T7" t="s">
        <v>187</v>
      </c>
      <c r="BC7" s="10">
        <v>43136</v>
      </c>
      <c r="BD7" s="6">
        <v>6</v>
      </c>
      <c r="BE7" s="6" t="s">
        <v>1637</v>
      </c>
      <c r="BF7" s="6" t="s">
        <v>494</v>
      </c>
      <c r="BI7" s="6" t="s">
        <v>505</v>
      </c>
      <c r="BK7" s="6" t="s">
        <v>677</v>
      </c>
      <c r="BO7" s="6" t="s">
        <v>1555</v>
      </c>
      <c r="BQ7" s="6"/>
      <c r="BR7" s="6">
        <v>91</v>
      </c>
      <c r="BS7" t="s">
        <v>1575</v>
      </c>
      <c r="BU7" t="s">
        <v>1664</v>
      </c>
    </row>
    <row r="8" spans="1:76" ht="15.75" customHeight="1" thickBot="1">
      <c r="A8" s="6">
        <v>7</v>
      </c>
      <c r="B8" s="8"/>
      <c r="C8" s="8"/>
      <c r="D8" s="8"/>
      <c r="E8" s="8"/>
      <c r="F8" s="8"/>
      <c r="G8" s="8"/>
      <c r="I8" s="8"/>
      <c r="L8" t="s">
        <v>71</v>
      </c>
      <c r="N8" s="8" t="s">
        <v>230</v>
      </c>
      <c r="P8" t="s">
        <v>17</v>
      </c>
      <c r="S8" t="s">
        <v>82</v>
      </c>
      <c r="T8" t="s">
        <v>188</v>
      </c>
      <c r="AB8" s="164" t="s">
        <v>1925</v>
      </c>
      <c r="AD8" s="164" t="s">
        <v>1609</v>
      </c>
      <c r="BC8" s="10">
        <v>43143</v>
      </c>
      <c r="BD8" s="6">
        <v>7</v>
      </c>
      <c r="BE8" s="6" t="s">
        <v>1637</v>
      </c>
      <c r="BF8" s="6" t="s">
        <v>494</v>
      </c>
      <c r="BI8" s="6" t="s">
        <v>584</v>
      </c>
      <c r="BK8" s="6" t="s">
        <v>678</v>
      </c>
      <c r="BO8" s="6" t="s">
        <v>1556</v>
      </c>
      <c r="BQ8" s="6"/>
      <c r="BR8" s="6">
        <v>181</v>
      </c>
      <c r="BS8" t="s">
        <v>1576</v>
      </c>
      <c r="BU8" t="s">
        <v>1665</v>
      </c>
    </row>
    <row r="9" spans="1:76" ht="15.75" customHeight="1">
      <c r="A9" s="6">
        <v>8</v>
      </c>
      <c r="B9" s="8"/>
      <c r="C9" s="8"/>
      <c r="D9" s="8"/>
      <c r="E9" s="8"/>
      <c r="F9" s="8"/>
      <c r="G9" s="8"/>
      <c r="I9" s="8"/>
      <c r="L9" t="s">
        <v>158</v>
      </c>
      <c r="P9" t="s">
        <v>18</v>
      </c>
      <c r="S9" t="s">
        <v>119</v>
      </c>
      <c r="T9" t="s">
        <v>189</v>
      </c>
      <c r="AB9" s="162" t="s">
        <v>2408</v>
      </c>
      <c r="AD9" s="162" t="s">
        <v>2413</v>
      </c>
      <c r="BC9" s="10">
        <v>43150</v>
      </c>
      <c r="BD9" s="6">
        <v>8</v>
      </c>
      <c r="BE9" s="6" t="s">
        <v>1637</v>
      </c>
      <c r="BF9" s="6" t="s">
        <v>494</v>
      </c>
      <c r="BI9" s="6" t="s">
        <v>506</v>
      </c>
      <c r="BK9" s="6" t="s">
        <v>679</v>
      </c>
      <c r="BO9" s="6" t="s">
        <v>1557</v>
      </c>
      <c r="BQ9" s="6"/>
      <c r="BR9" s="6">
        <v>361</v>
      </c>
      <c r="BS9" t="s">
        <v>1577</v>
      </c>
    </row>
    <row r="10" spans="1:76" ht="15.75" customHeight="1">
      <c r="A10" s="6">
        <v>9</v>
      </c>
      <c r="B10" s="8"/>
      <c r="C10" s="8"/>
      <c r="D10" s="8"/>
      <c r="E10" s="8"/>
      <c r="F10" s="8"/>
      <c r="G10" s="8"/>
      <c r="I10" s="8"/>
      <c r="L10" t="s">
        <v>1856</v>
      </c>
      <c r="P10" t="s">
        <v>19</v>
      </c>
      <c r="S10" t="s">
        <v>132</v>
      </c>
      <c r="T10" t="s">
        <v>190</v>
      </c>
      <c r="AB10" s="161" t="s">
        <v>1648</v>
      </c>
      <c r="AD10" s="161" t="s">
        <v>2414</v>
      </c>
      <c r="BC10" s="10">
        <v>43157</v>
      </c>
      <c r="BD10" s="6">
        <v>9</v>
      </c>
      <c r="BE10" s="6" t="s">
        <v>1638</v>
      </c>
      <c r="BF10" s="6" t="s">
        <v>494</v>
      </c>
      <c r="BI10" s="6" t="s">
        <v>507</v>
      </c>
      <c r="BK10" s="6" t="s">
        <v>680</v>
      </c>
      <c r="BO10" s="6" t="s">
        <v>1558</v>
      </c>
      <c r="BR10" s="6">
        <v>9999</v>
      </c>
    </row>
    <row r="11" spans="1:76" ht="15.75" customHeight="1">
      <c r="A11" s="6">
        <v>10</v>
      </c>
      <c r="B11" s="8"/>
      <c r="C11" s="8"/>
      <c r="D11" s="8"/>
      <c r="E11" s="8"/>
      <c r="F11" s="8"/>
      <c r="G11" s="8"/>
      <c r="I11" s="8"/>
      <c r="L11" t="s">
        <v>34</v>
      </c>
      <c r="P11" t="s">
        <v>20</v>
      </c>
      <c r="S11" t="s">
        <v>142</v>
      </c>
      <c r="T11" t="s">
        <v>142</v>
      </c>
      <c r="AB11" s="162" t="s">
        <v>2409</v>
      </c>
      <c r="AD11" s="162" t="s">
        <v>2415</v>
      </c>
      <c r="BC11" s="10">
        <v>43164</v>
      </c>
      <c r="BD11" s="6">
        <v>10</v>
      </c>
      <c r="BE11" s="6" t="s">
        <v>1638</v>
      </c>
      <c r="BF11" s="6" t="s">
        <v>494</v>
      </c>
      <c r="BI11" s="6" t="s">
        <v>2590</v>
      </c>
      <c r="BK11" s="6" t="s">
        <v>681</v>
      </c>
      <c r="BO11" s="5" t="s">
        <v>1549</v>
      </c>
      <c r="BR11" s="6" t="str">
        <f ca="1">Scorecard!P20</f>
        <v/>
      </c>
      <c r="BS11" t="e">
        <f ca="1">LOOKUP(BR11,$BR$3:$BR$10,$BS$3:$BS$9)</f>
        <v>#N/A</v>
      </c>
    </row>
    <row r="12" spans="1:76" ht="15.75" customHeight="1">
      <c r="A12" s="6">
        <v>11</v>
      </c>
      <c r="B12" s="8"/>
      <c r="C12" s="8"/>
      <c r="D12" s="8"/>
      <c r="E12" s="8"/>
      <c r="F12" s="8"/>
      <c r="G12" s="8"/>
      <c r="I12" s="8"/>
      <c r="L12" t="s">
        <v>54</v>
      </c>
      <c r="P12" t="s">
        <v>21</v>
      </c>
      <c r="S12" t="s">
        <v>158</v>
      </c>
      <c r="T12" t="s">
        <v>158</v>
      </c>
      <c r="AB12" s="161" t="s">
        <v>2410</v>
      </c>
      <c r="BC12" s="10">
        <v>43171</v>
      </c>
      <c r="BD12" s="6">
        <v>11</v>
      </c>
      <c r="BE12" s="6" t="s">
        <v>1638</v>
      </c>
      <c r="BF12" s="6" t="s">
        <v>494</v>
      </c>
      <c r="BI12" s="6" t="s">
        <v>2591</v>
      </c>
      <c r="BK12" s="6" t="s">
        <v>682</v>
      </c>
      <c r="BO12" s="6" t="s">
        <v>1561</v>
      </c>
    </row>
    <row r="13" spans="1:76" ht="15.75" customHeight="1">
      <c r="A13" s="6">
        <v>12</v>
      </c>
      <c r="B13" s="8"/>
      <c r="C13" s="8"/>
      <c r="D13" s="8"/>
      <c r="E13" s="8"/>
      <c r="F13" s="8"/>
      <c r="G13" s="8"/>
      <c r="I13" s="8"/>
      <c r="P13" t="s">
        <v>22</v>
      </c>
      <c r="S13" t="s">
        <v>191</v>
      </c>
      <c r="T13" t="s">
        <v>191</v>
      </c>
      <c r="AB13" s="162" t="s">
        <v>2411</v>
      </c>
      <c r="BC13" s="10">
        <v>43178</v>
      </c>
      <c r="BD13" s="6">
        <v>12</v>
      </c>
      <c r="BE13" s="6" t="s">
        <v>1638</v>
      </c>
      <c r="BF13" s="6" t="s">
        <v>494</v>
      </c>
      <c r="BI13" s="6" t="s">
        <v>98</v>
      </c>
      <c r="BK13" s="6" t="s">
        <v>683</v>
      </c>
      <c r="BO13" s="6" t="s">
        <v>1562</v>
      </c>
      <c r="BR13" s="6"/>
    </row>
    <row r="14" spans="1:76" ht="15.75" customHeight="1" thickBot="1">
      <c r="A14" s="6">
        <v>13</v>
      </c>
      <c r="B14" s="8"/>
      <c r="C14" s="8"/>
      <c r="D14" s="8"/>
      <c r="E14" s="8"/>
      <c r="F14" s="8"/>
      <c r="G14" s="8"/>
      <c r="I14" s="8"/>
      <c r="L14" s="4" t="s">
        <v>414</v>
      </c>
      <c r="P14" t="s">
        <v>23</v>
      </c>
      <c r="S14" t="s">
        <v>192</v>
      </c>
      <c r="T14" t="s">
        <v>192</v>
      </c>
      <c r="BC14" s="10">
        <v>43185</v>
      </c>
      <c r="BD14" s="6">
        <v>13</v>
      </c>
      <c r="BE14" s="6" t="s">
        <v>1638</v>
      </c>
      <c r="BF14" s="6" t="s">
        <v>494</v>
      </c>
      <c r="BI14" s="6" t="s">
        <v>508</v>
      </c>
      <c r="BK14" s="6" t="s">
        <v>684</v>
      </c>
      <c r="BO14" s="6" t="s">
        <v>1563</v>
      </c>
    </row>
    <row r="15" spans="1:76" ht="15.75" customHeight="1" thickBot="1">
      <c r="A15" s="6">
        <v>14</v>
      </c>
      <c r="B15" s="8"/>
      <c r="C15" s="8"/>
      <c r="D15" s="8"/>
      <c r="E15" s="8"/>
      <c r="F15" s="8"/>
      <c r="G15" s="8"/>
      <c r="I15" s="8"/>
      <c r="L15" t="s">
        <v>199</v>
      </c>
      <c r="P15" t="s">
        <v>24</v>
      </c>
      <c r="S15" t="s">
        <v>193</v>
      </c>
      <c r="T15" t="s">
        <v>194</v>
      </c>
      <c r="AB15" s="164" t="s">
        <v>1926</v>
      </c>
      <c r="AD15" s="164" t="s">
        <v>1613</v>
      </c>
      <c r="BC15" s="10">
        <v>43192</v>
      </c>
      <c r="BD15" s="6">
        <v>14</v>
      </c>
      <c r="BE15" s="6" t="s">
        <v>1639</v>
      </c>
      <c r="BF15" s="6" t="s">
        <v>495</v>
      </c>
      <c r="BI15" s="6" t="s">
        <v>2592</v>
      </c>
      <c r="BK15" s="6" t="s">
        <v>841</v>
      </c>
      <c r="BO15" s="6" t="s">
        <v>1564</v>
      </c>
    </row>
    <row r="16" spans="1:76" ht="15.75" customHeight="1">
      <c r="A16" s="6">
        <v>15</v>
      </c>
      <c r="B16" s="8"/>
      <c r="C16" s="8"/>
      <c r="D16" s="8"/>
      <c r="E16" s="8"/>
      <c r="F16" s="8"/>
      <c r="G16" s="8"/>
      <c r="I16" s="8"/>
      <c r="L16" t="s">
        <v>197</v>
      </c>
      <c r="P16" t="s">
        <v>25</v>
      </c>
      <c r="S16" t="s">
        <v>195</v>
      </c>
      <c r="T16" t="s">
        <v>196</v>
      </c>
      <c r="AB16" s="162" t="s">
        <v>2412</v>
      </c>
      <c r="AD16" s="162" t="s">
        <v>2416</v>
      </c>
      <c r="BC16" s="10">
        <v>43199</v>
      </c>
      <c r="BD16" s="6">
        <v>15</v>
      </c>
      <c r="BE16" s="6" t="s">
        <v>1639</v>
      </c>
      <c r="BF16" s="6" t="s">
        <v>495</v>
      </c>
      <c r="BI16" s="6" t="s">
        <v>509</v>
      </c>
      <c r="BK16" s="6" t="s">
        <v>685</v>
      </c>
      <c r="BO16" s="6" t="s">
        <v>1565</v>
      </c>
    </row>
    <row r="17" spans="1:63" ht="15.75" customHeight="1">
      <c r="A17" s="6">
        <v>16</v>
      </c>
      <c r="B17" s="8"/>
      <c r="C17" s="8"/>
      <c r="D17" s="8"/>
      <c r="E17" s="8"/>
      <c r="F17" s="8"/>
      <c r="G17" s="8"/>
      <c r="I17" s="8"/>
      <c r="L17" t="s">
        <v>201</v>
      </c>
      <c r="P17" t="s">
        <v>26</v>
      </c>
      <c r="S17" t="s">
        <v>197</v>
      </c>
      <c r="T17" t="s">
        <v>198</v>
      </c>
      <c r="BC17" s="10">
        <v>43206</v>
      </c>
      <c r="BD17" s="6">
        <v>16</v>
      </c>
      <c r="BE17" s="6" t="s">
        <v>1639</v>
      </c>
      <c r="BF17" s="6" t="s">
        <v>495</v>
      </c>
      <c r="BI17" s="6" t="s">
        <v>510</v>
      </c>
      <c r="BK17" s="6" t="s">
        <v>686</v>
      </c>
    </row>
    <row r="18" spans="1:63" ht="15.75" customHeight="1" thickBot="1">
      <c r="A18" s="6">
        <v>17</v>
      </c>
      <c r="B18" s="8"/>
      <c r="C18" s="8"/>
      <c r="D18" s="8"/>
      <c r="E18" s="8"/>
      <c r="F18" s="8"/>
      <c r="G18" s="8"/>
      <c r="I18" s="8"/>
      <c r="L18" t="s">
        <v>193</v>
      </c>
      <c r="P18" t="s">
        <v>27</v>
      </c>
      <c r="S18" t="s">
        <v>199</v>
      </c>
      <c r="T18" t="s">
        <v>200</v>
      </c>
      <c r="BC18" s="10">
        <v>43213</v>
      </c>
      <c r="BD18" s="6">
        <v>17</v>
      </c>
      <c r="BE18" s="6" t="s">
        <v>1639</v>
      </c>
      <c r="BF18" s="6" t="s">
        <v>495</v>
      </c>
      <c r="BI18" s="6" t="s">
        <v>511</v>
      </c>
      <c r="BK18" s="6" t="s">
        <v>687</v>
      </c>
    </row>
    <row r="19" spans="1:63" ht="15.75" customHeight="1" thickBot="1">
      <c r="A19" s="6">
        <v>18</v>
      </c>
      <c r="B19" s="8"/>
      <c r="C19" s="8"/>
      <c r="D19" s="8"/>
      <c r="E19" s="8"/>
      <c r="F19" s="8"/>
      <c r="G19" s="8"/>
      <c r="I19" s="8"/>
      <c r="L19" t="s">
        <v>203</v>
      </c>
      <c r="P19" t="s">
        <v>28</v>
      </c>
      <c r="S19" t="s">
        <v>201</v>
      </c>
      <c r="T19" t="s">
        <v>202</v>
      </c>
      <c r="AB19" s="169" t="s">
        <v>1878</v>
      </c>
      <c r="AD19" s="169" t="s">
        <v>1615</v>
      </c>
      <c r="AF19" s="169" t="s">
        <v>214</v>
      </c>
      <c r="AH19" s="169" t="s">
        <v>206</v>
      </c>
      <c r="AJ19" s="169" t="s">
        <v>1880</v>
      </c>
      <c r="BC19" s="10">
        <v>43220</v>
      </c>
      <c r="BD19" s="6">
        <v>18</v>
      </c>
      <c r="BE19" s="6" t="s">
        <v>1640</v>
      </c>
      <c r="BF19" s="6" t="s">
        <v>495</v>
      </c>
      <c r="BI19" s="6" t="s">
        <v>2593</v>
      </c>
      <c r="BK19" s="6" t="s">
        <v>688</v>
      </c>
    </row>
    <row r="20" spans="1:63" ht="15.75" customHeight="1">
      <c r="A20" s="6">
        <v>19</v>
      </c>
      <c r="B20" s="8"/>
      <c r="C20" s="8"/>
      <c r="D20" s="8"/>
      <c r="E20" s="8"/>
      <c r="F20" s="8"/>
      <c r="G20" s="8"/>
      <c r="I20" s="8"/>
      <c r="L20" t="s">
        <v>191</v>
      </c>
      <c r="P20" t="s">
        <v>29</v>
      </c>
      <c r="S20" t="s">
        <v>203</v>
      </c>
      <c r="T20" t="s">
        <v>204</v>
      </c>
      <c r="AB20" s="162" t="s">
        <v>1610</v>
      </c>
      <c r="AC20" t="s">
        <v>2437</v>
      </c>
      <c r="AD20" s="162" t="s">
        <v>1619</v>
      </c>
      <c r="AE20" t="s">
        <v>2439</v>
      </c>
      <c r="AF20" s="162" t="s">
        <v>1611</v>
      </c>
      <c r="AG20" s="172" t="s">
        <v>2441</v>
      </c>
      <c r="AH20" s="162" t="s">
        <v>207</v>
      </c>
      <c r="AI20" s="172" t="s">
        <v>2443</v>
      </c>
      <c r="AJ20" s="162" t="s">
        <v>1937</v>
      </c>
      <c r="AK20" s="172" t="s">
        <v>2446</v>
      </c>
      <c r="BC20" s="10">
        <v>43227</v>
      </c>
      <c r="BD20" s="6">
        <v>19</v>
      </c>
      <c r="BE20" s="6" t="s">
        <v>1640</v>
      </c>
      <c r="BF20" s="6" t="s">
        <v>495</v>
      </c>
      <c r="BI20" s="6" t="s">
        <v>512</v>
      </c>
      <c r="BK20" s="6" t="s">
        <v>689</v>
      </c>
    </row>
    <row r="21" spans="1:63" ht="15.75" customHeight="1">
      <c r="A21" s="6">
        <v>20</v>
      </c>
      <c r="B21" s="8"/>
      <c r="C21" s="8"/>
      <c r="D21" s="8"/>
      <c r="E21" s="8"/>
      <c r="F21" s="8"/>
      <c r="G21" s="8"/>
      <c r="I21" s="8"/>
      <c r="L21" t="s">
        <v>195</v>
      </c>
      <c r="P21" t="s">
        <v>30</v>
      </c>
      <c r="AB21" s="161" t="s">
        <v>2663</v>
      </c>
      <c r="AC21" t="s">
        <v>2438</v>
      </c>
      <c r="AD21" s="161" t="s">
        <v>2680</v>
      </c>
      <c r="AE21" t="s">
        <v>2440</v>
      </c>
      <c r="AF21" s="161" t="s">
        <v>1934</v>
      </c>
      <c r="AG21" s="172" t="s">
        <v>2442</v>
      </c>
      <c r="AH21" s="161" t="s">
        <v>1935</v>
      </c>
      <c r="AI21" s="172" t="s">
        <v>2444</v>
      </c>
      <c r="AJ21" s="161" t="s">
        <v>1940</v>
      </c>
      <c r="AK21" s="172" t="s">
        <v>2447</v>
      </c>
      <c r="BC21" s="10">
        <v>43234</v>
      </c>
      <c r="BD21" s="6">
        <v>20</v>
      </c>
      <c r="BE21" s="6" t="s">
        <v>1640</v>
      </c>
      <c r="BF21" s="6" t="s">
        <v>495</v>
      </c>
      <c r="BI21" s="6" t="s">
        <v>516</v>
      </c>
      <c r="BK21" s="6" t="s">
        <v>690</v>
      </c>
    </row>
    <row r="22" spans="1:63" ht="15.75" customHeight="1">
      <c r="A22" s="6">
        <v>21</v>
      </c>
      <c r="B22" s="8"/>
      <c r="C22" s="8"/>
      <c r="D22" s="8"/>
      <c r="E22" s="8"/>
      <c r="F22" s="8"/>
      <c r="G22" s="8"/>
      <c r="I22" s="8"/>
      <c r="L22" t="s">
        <v>192</v>
      </c>
      <c r="P22" t="s">
        <v>31</v>
      </c>
      <c r="AH22" s="161" t="s">
        <v>1936</v>
      </c>
      <c r="AI22" s="172" t="s">
        <v>2445</v>
      </c>
      <c r="AJ22" s="161" t="s">
        <v>1938</v>
      </c>
      <c r="AK22" s="172" t="s">
        <v>2448</v>
      </c>
      <c r="BC22" s="10">
        <v>43241</v>
      </c>
      <c r="BD22" s="6">
        <v>21</v>
      </c>
      <c r="BE22" s="6" t="s">
        <v>1640</v>
      </c>
      <c r="BF22" s="6" t="s">
        <v>495</v>
      </c>
      <c r="BI22" s="6" t="s">
        <v>517</v>
      </c>
      <c r="BK22" s="6" t="s">
        <v>691</v>
      </c>
    </row>
    <row r="23" spans="1:63" ht="15.75" customHeight="1">
      <c r="A23" s="6">
        <v>22</v>
      </c>
      <c r="B23" s="8"/>
      <c r="C23" s="8"/>
      <c r="D23" s="8"/>
      <c r="E23" s="8"/>
      <c r="F23" s="8"/>
      <c r="G23" s="8"/>
      <c r="I23" s="8"/>
      <c r="P23" t="s">
        <v>32</v>
      </c>
      <c r="AJ23" s="161" t="s">
        <v>1939</v>
      </c>
      <c r="AK23" s="172" t="s">
        <v>2449</v>
      </c>
      <c r="BC23" s="10">
        <v>43248</v>
      </c>
      <c r="BD23" s="6">
        <v>22</v>
      </c>
      <c r="BE23" s="6" t="s">
        <v>1641</v>
      </c>
      <c r="BF23" s="6" t="s">
        <v>495</v>
      </c>
      <c r="BI23" s="6" t="s">
        <v>518</v>
      </c>
      <c r="BK23" s="6" t="s">
        <v>692</v>
      </c>
    </row>
    <row r="24" spans="1:63" ht="15.75" customHeight="1" thickBot="1">
      <c r="A24" s="6">
        <v>23</v>
      </c>
      <c r="B24" s="8"/>
      <c r="C24" s="8"/>
      <c r="D24" s="8"/>
      <c r="E24" s="8"/>
      <c r="F24" s="8"/>
      <c r="G24" s="8"/>
      <c r="I24" s="8"/>
      <c r="P24" t="s">
        <v>33</v>
      </c>
      <c r="BC24" s="10">
        <v>43255</v>
      </c>
      <c r="BD24" s="6">
        <v>23</v>
      </c>
      <c r="BE24" s="6" t="s">
        <v>1641</v>
      </c>
      <c r="BF24" s="6" t="s">
        <v>495</v>
      </c>
      <c r="BI24" s="6" t="s">
        <v>519</v>
      </c>
      <c r="BK24" s="6" t="s">
        <v>694</v>
      </c>
    </row>
    <row r="25" spans="1:63" ht="15.75" customHeight="1" thickBot="1">
      <c r="A25" s="6">
        <v>24</v>
      </c>
      <c r="B25" s="8"/>
      <c r="C25" s="8"/>
      <c r="D25" s="8"/>
      <c r="E25" s="8"/>
      <c r="F25" s="8"/>
      <c r="G25" s="8"/>
      <c r="I25" s="8"/>
      <c r="L25" s="4" t="s">
        <v>1858</v>
      </c>
      <c r="P25" s="2" t="s">
        <v>34</v>
      </c>
      <c r="AB25" s="168" t="s">
        <v>1610</v>
      </c>
      <c r="AD25" s="168" t="s">
        <v>1619</v>
      </c>
      <c r="AF25" s="168" t="s">
        <v>1611</v>
      </c>
      <c r="AH25" s="168" t="s">
        <v>207</v>
      </c>
      <c r="AJ25" s="168" t="s">
        <v>1937</v>
      </c>
      <c r="BC25" s="10">
        <v>43262</v>
      </c>
      <c r="BD25" s="6">
        <v>24</v>
      </c>
      <c r="BE25" s="6" t="s">
        <v>1641</v>
      </c>
      <c r="BF25" s="6" t="s">
        <v>495</v>
      </c>
      <c r="BI25" s="6" t="s">
        <v>2594</v>
      </c>
      <c r="BK25" s="6" t="s">
        <v>695</v>
      </c>
    </row>
    <row r="26" spans="1:63" ht="15.75" customHeight="1">
      <c r="A26" s="6">
        <v>25</v>
      </c>
      <c r="B26" s="8"/>
      <c r="C26" s="8"/>
      <c r="D26" s="8"/>
      <c r="E26" s="8"/>
      <c r="F26" s="8"/>
      <c r="G26" s="8"/>
      <c r="I26" s="8"/>
      <c r="L26" t="s">
        <v>1859</v>
      </c>
      <c r="P26" t="s">
        <v>35</v>
      </c>
      <c r="AB26" s="162" t="s">
        <v>2419</v>
      </c>
      <c r="AD26" s="162" t="s">
        <v>2420</v>
      </c>
      <c r="AF26" s="167" t="s">
        <v>2424</v>
      </c>
      <c r="AH26" s="167" t="s">
        <v>2682</v>
      </c>
      <c r="AJ26" s="167" t="s">
        <v>2426</v>
      </c>
      <c r="BC26" s="10">
        <v>43269</v>
      </c>
      <c r="BD26" s="6">
        <v>25</v>
      </c>
      <c r="BE26" s="6" t="s">
        <v>1641</v>
      </c>
      <c r="BF26" s="6" t="s">
        <v>495</v>
      </c>
      <c r="BI26" s="6" t="s">
        <v>522</v>
      </c>
      <c r="BK26" s="6" t="s">
        <v>696</v>
      </c>
    </row>
    <row r="27" spans="1:63" ht="15.75" customHeight="1" thickBot="1">
      <c r="A27" s="6">
        <v>26</v>
      </c>
      <c r="B27" s="8"/>
      <c r="C27" s="8"/>
      <c r="D27" s="8"/>
      <c r="E27" s="8"/>
      <c r="F27" s="8"/>
      <c r="G27" s="8"/>
      <c r="I27" s="8"/>
      <c r="L27" t="s">
        <v>1860</v>
      </c>
      <c r="P27" t="s">
        <v>36</v>
      </c>
      <c r="AB27" s="162" t="s">
        <v>2661</v>
      </c>
      <c r="AD27" s="162" t="s">
        <v>2421</v>
      </c>
      <c r="AH27" s="167" t="s">
        <v>2684</v>
      </c>
      <c r="AJ27" s="167" t="s">
        <v>2427</v>
      </c>
      <c r="BC27" s="10">
        <v>43276</v>
      </c>
      <c r="BD27" s="6">
        <v>26</v>
      </c>
      <c r="BE27" s="6" t="s">
        <v>1641</v>
      </c>
      <c r="BF27" s="6" t="s">
        <v>495</v>
      </c>
      <c r="BI27" s="6" t="s">
        <v>520</v>
      </c>
      <c r="BK27" s="6" t="s">
        <v>697</v>
      </c>
    </row>
    <row r="28" spans="1:63" ht="15.75" customHeight="1" thickBot="1">
      <c r="A28" s="6">
        <v>27</v>
      </c>
      <c r="B28" s="8"/>
      <c r="C28" s="8"/>
      <c r="D28" s="8"/>
      <c r="E28" s="8"/>
      <c r="F28" s="8"/>
      <c r="G28" s="8"/>
      <c r="I28" s="8"/>
      <c r="L28" t="s">
        <v>1861</v>
      </c>
      <c r="P28" t="s">
        <v>37</v>
      </c>
      <c r="AB28" s="162" t="s">
        <v>2662</v>
      </c>
      <c r="AD28" s="162" t="s">
        <v>2422</v>
      </c>
      <c r="AF28" s="168" t="s">
        <v>1934</v>
      </c>
      <c r="AH28" s="167" t="s">
        <v>2685</v>
      </c>
      <c r="BC28" s="10">
        <v>43283</v>
      </c>
      <c r="BD28" s="6">
        <v>27</v>
      </c>
      <c r="BE28" s="6" t="s">
        <v>1642</v>
      </c>
      <c r="BF28" s="6" t="s">
        <v>496</v>
      </c>
      <c r="BI28" s="6" t="s">
        <v>521</v>
      </c>
      <c r="BK28" s="6" t="s">
        <v>698</v>
      </c>
    </row>
    <row r="29" spans="1:63" ht="15.75" customHeight="1" thickBot="1">
      <c r="A29" s="6">
        <v>28</v>
      </c>
      <c r="B29" s="8"/>
      <c r="C29" s="8"/>
      <c r="D29" s="8"/>
      <c r="E29" s="8"/>
      <c r="F29" s="8"/>
      <c r="G29" s="8"/>
      <c r="I29" s="8"/>
      <c r="L29" t="s">
        <v>1862</v>
      </c>
      <c r="P29" t="s">
        <v>38</v>
      </c>
      <c r="AF29" s="162" t="s">
        <v>2425</v>
      </c>
      <c r="AJ29" s="168" t="s">
        <v>1940</v>
      </c>
      <c r="BC29" s="10">
        <v>43290</v>
      </c>
      <c r="BD29" s="6">
        <v>28</v>
      </c>
      <c r="BE29" s="6" t="s">
        <v>1642</v>
      </c>
      <c r="BF29" s="6" t="s">
        <v>496</v>
      </c>
      <c r="BI29" s="6" t="s">
        <v>523</v>
      </c>
      <c r="BK29" s="6" t="s">
        <v>699</v>
      </c>
    </row>
    <row r="30" spans="1:63" ht="15.75" customHeight="1" thickBot="1">
      <c r="A30" s="6">
        <v>29</v>
      </c>
      <c r="B30" s="8"/>
      <c r="C30" s="8"/>
      <c r="D30" s="8"/>
      <c r="E30" s="8"/>
      <c r="F30" s="8"/>
      <c r="G30" s="8"/>
      <c r="I30" s="8"/>
      <c r="L30" t="s">
        <v>1863</v>
      </c>
      <c r="P30" t="s">
        <v>39</v>
      </c>
      <c r="AB30" s="168" t="s">
        <v>1614</v>
      </c>
      <c r="AH30" s="168" t="s">
        <v>1935</v>
      </c>
      <c r="AJ30" s="167" t="s">
        <v>2698</v>
      </c>
      <c r="BC30" s="10">
        <v>43297</v>
      </c>
      <c r="BD30" s="6">
        <v>29</v>
      </c>
      <c r="BE30" s="6" t="s">
        <v>1642</v>
      </c>
      <c r="BF30" s="6" t="s">
        <v>496</v>
      </c>
      <c r="BI30" s="6" t="s">
        <v>2595</v>
      </c>
      <c r="BK30" s="6" t="s">
        <v>700</v>
      </c>
    </row>
    <row r="31" spans="1:63" ht="15.75" customHeight="1" thickBot="1">
      <c r="A31" s="6">
        <v>30</v>
      </c>
      <c r="B31" s="8"/>
      <c r="C31" s="8"/>
      <c r="D31" s="8"/>
      <c r="E31" s="8"/>
      <c r="F31" s="8"/>
      <c r="G31" s="8"/>
      <c r="I31" s="8"/>
      <c r="L31" t="s">
        <v>1867</v>
      </c>
      <c r="P31" t="s">
        <v>40</v>
      </c>
      <c r="AB31" s="162" t="s">
        <v>2664</v>
      </c>
      <c r="AD31" s="168" t="s">
        <v>1933</v>
      </c>
      <c r="AH31" s="167" t="s">
        <v>2686</v>
      </c>
      <c r="AJ31" s="167" t="s">
        <v>2699</v>
      </c>
      <c r="BC31" s="10">
        <v>43304</v>
      </c>
      <c r="BD31" s="6">
        <v>30</v>
      </c>
      <c r="BE31" s="6" t="s">
        <v>1642</v>
      </c>
      <c r="BF31" s="6" t="s">
        <v>496</v>
      </c>
      <c r="BI31" s="6" t="s">
        <v>2596</v>
      </c>
      <c r="BK31" s="6" t="s">
        <v>701</v>
      </c>
    </row>
    <row r="32" spans="1:63" ht="15.75" customHeight="1" thickBot="1">
      <c r="A32" s="6">
        <v>31</v>
      </c>
      <c r="B32" s="8"/>
      <c r="C32" s="8"/>
      <c r="D32" s="8"/>
      <c r="E32" s="8"/>
      <c r="F32" s="8"/>
      <c r="G32" s="8"/>
      <c r="I32" s="8"/>
      <c r="L32" t="s">
        <v>1868</v>
      </c>
      <c r="P32" t="s">
        <v>41</v>
      </c>
      <c r="AB32" s="162" t="s">
        <v>2665</v>
      </c>
      <c r="AD32" s="162" t="s">
        <v>1652</v>
      </c>
      <c r="AH32" s="167" t="s">
        <v>2687</v>
      </c>
      <c r="BC32" s="10">
        <v>43311</v>
      </c>
      <c r="BD32" s="6">
        <v>31</v>
      </c>
      <c r="BE32" s="6" t="s">
        <v>1643</v>
      </c>
      <c r="BF32" s="6" t="s">
        <v>496</v>
      </c>
      <c r="BI32" s="6" t="s">
        <v>2597</v>
      </c>
      <c r="BK32" s="6" t="s">
        <v>702</v>
      </c>
    </row>
    <row r="33" spans="1:63" ht="15.75" customHeight="1" thickBot="1">
      <c r="A33" s="6">
        <v>32</v>
      </c>
      <c r="B33" s="8"/>
      <c r="C33" s="8"/>
      <c r="D33" s="8"/>
      <c r="E33" s="8"/>
      <c r="F33" s="8"/>
      <c r="G33" s="8"/>
      <c r="I33" s="8"/>
      <c r="L33" t="s">
        <v>1869</v>
      </c>
      <c r="P33" t="s">
        <v>42</v>
      </c>
      <c r="AD33" s="162" t="s">
        <v>2423</v>
      </c>
      <c r="AH33" s="167" t="s">
        <v>2688</v>
      </c>
      <c r="AJ33" s="168" t="s">
        <v>1938</v>
      </c>
      <c r="BC33" s="10">
        <v>43318</v>
      </c>
      <c r="BD33" s="6">
        <v>32</v>
      </c>
      <c r="BE33" s="6" t="s">
        <v>1643</v>
      </c>
      <c r="BF33" s="6" t="s">
        <v>496</v>
      </c>
      <c r="BI33" s="6" t="s">
        <v>524</v>
      </c>
      <c r="BK33" s="6" t="s">
        <v>703</v>
      </c>
    </row>
    <row r="34" spans="1:63" ht="15.75" customHeight="1">
      <c r="A34" s="6">
        <v>33</v>
      </c>
      <c r="B34" s="8"/>
      <c r="C34" s="8"/>
      <c r="D34" s="8"/>
      <c r="E34" s="8"/>
      <c r="F34" s="8"/>
      <c r="G34" s="8"/>
      <c r="I34" s="8"/>
      <c r="L34" t="s">
        <v>1870</v>
      </c>
      <c r="P34" t="s">
        <v>43</v>
      </c>
      <c r="AH34" s="167" t="s">
        <v>2689</v>
      </c>
      <c r="AJ34" s="167" t="s">
        <v>2428</v>
      </c>
      <c r="BC34" s="10">
        <v>43325</v>
      </c>
      <c r="BD34" s="6">
        <v>33</v>
      </c>
      <c r="BE34" s="6" t="s">
        <v>1643</v>
      </c>
      <c r="BF34" s="6" t="s">
        <v>496</v>
      </c>
      <c r="BI34" s="6" t="s">
        <v>525</v>
      </c>
      <c r="BK34" s="6" t="s">
        <v>704</v>
      </c>
    </row>
    <row r="35" spans="1:63" ht="15.75" customHeight="1" thickBot="1">
      <c r="A35" s="6">
        <v>34</v>
      </c>
      <c r="B35" s="8"/>
      <c r="C35" s="8"/>
      <c r="D35" s="8"/>
      <c r="E35" s="8"/>
      <c r="F35" s="8"/>
      <c r="G35" s="8"/>
      <c r="I35" s="8"/>
      <c r="L35" t="s">
        <v>1871</v>
      </c>
      <c r="P35" t="s">
        <v>44</v>
      </c>
      <c r="BC35" s="10">
        <v>43332</v>
      </c>
      <c r="BD35" s="6">
        <v>34</v>
      </c>
      <c r="BE35" s="6" t="s">
        <v>1643</v>
      </c>
      <c r="BF35" s="6" t="s">
        <v>496</v>
      </c>
      <c r="BI35" s="6" t="s">
        <v>526</v>
      </c>
      <c r="BK35" s="6" t="s">
        <v>705</v>
      </c>
    </row>
    <row r="36" spans="1:63" ht="15.75" customHeight="1" thickBot="1">
      <c r="A36" s="6">
        <v>35</v>
      </c>
      <c r="B36" s="8"/>
      <c r="C36" s="8"/>
      <c r="D36" s="8"/>
      <c r="E36" s="8"/>
      <c r="F36" s="8"/>
      <c r="G36" s="8"/>
      <c r="I36" s="9"/>
      <c r="L36" t="s">
        <v>1872</v>
      </c>
      <c r="P36" t="s">
        <v>45</v>
      </c>
      <c r="AH36" s="168" t="s">
        <v>1936</v>
      </c>
      <c r="AJ36" s="168" t="s">
        <v>1939</v>
      </c>
      <c r="BC36" s="10">
        <v>43339</v>
      </c>
      <c r="BD36" s="6">
        <v>35</v>
      </c>
      <c r="BE36" s="6" t="s">
        <v>1644</v>
      </c>
      <c r="BF36" s="6" t="s">
        <v>496</v>
      </c>
      <c r="BI36" s="6" t="s">
        <v>528</v>
      </c>
      <c r="BK36" s="6" t="s">
        <v>706</v>
      </c>
    </row>
    <row r="37" spans="1:63" ht="15.75" customHeight="1" thickBot="1">
      <c r="A37" s="6">
        <v>36</v>
      </c>
      <c r="B37" s="8"/>
      <c r="C37" s="8"/>
      <c r="D37" s="8"/>
      <c r="E37" s="8"/>
      <c r="F37" s="8"/>
      <c r="G37" s="8"/>
      <c r="L37" t="s">
        <v>1864</v>
      </c>
      <c r="P37" t="s">
        <v>46</v>
      </c>
      <c r="AH37" t="s">
        <v>2691</v>
      </c>
      <c r="AJ37" s="167" t="s">
        <v>2436</v>
      </c>
      <c r="BC37" s="10">
        <v>43346</v>
      </c>
      <c r="BD37" s="6">
        <v>36</v>
      </c>
      <c r="BE37" s="6" t="s">
        <v>1644</v>
      </c>
      <c r="BF37" s="6" t="s">
        <v>496</v>
      </c>
      <c r="BI37" s="6" t="s">
        <v>513</v>
      </c>
      <c r="BK37" s="6" t="s">
        <v>707</v>
      </c>
    </row>
    <row r="38" spans="1:63" ht="15.75" customHeight="1" thickBot="1">
      <c r="A38" s="6">
        <v>37</v>
      </c>
      <c r="B38" s="8"/>
      <c r="C38" s="8"/>
      <c r="D38" s="8"/>
      <c r="E38" s="8"/>
      <c r="F38" s="8"/>
      <c r="G38" s="8"/>
      <c r="L38" t="s">
        <v>1865</v>
      </c>
      <c r="P38" t="s">
        <v>47</v>
      </c>
      <c r="AB38" s="170" t="s">
        <v>1881</v>
      </c>
      <c r="AD38" s="170" t="s">
        <v>210</v>
      </c>
      <c r="AH38" t="s">
        <v>2690</v>
      </c>
      <c r="BC38" s="10">
        <v>43353</v>
      </c>
      <c r="BD38" s="6">
        <v>37</v>
      </c>
      <c r="BE38" s="6" t="s">
        <v>1644</v>
      </c>
      <c r="BF38" s="6" t="s">
        <v>496</v>
      </c>
      <c r="BI38" s="6" t="s">
        <v>2598</v>
      </c>
      <c r="BK38" s="6" t="s">
        <v>708</v>
      </c>
    </row>
    <row r="39" spans="1:63" ht="15.75" customHeight="1">
      <c r="A39" s="6">
        <v>38</v>
      </c>
      <c r="B39" s="8"/>
      <c r="C39" s="8"/>
      <c r="D39" s="8"/>
      <c r="E39" s="8"/>
      <c r="F39" s="8"/>
      <c r="G39" s="8"/>
      <c r="L39" t="s">
        <v>1866</v>
      </c>
      <c r="P39" t="s">
        <v>2634</v>
      </c>
      <c r="AB39" s="162" t="s">
        <v>2697</v>
      </c>
      <c r="AC39" t="s">
        <v>2450</v>
      </c>
      <c r="AD39" s="162" t="s">
        <v>1612</v>
      </c>
      <c r="AE39" t="s">
        <v>2453</v>
      </c>
      <c r="AH39" t="s">
        <v>2692</v>
      </c>
      <c r="BC39" s="10">
        <v>43360</v>
      </c>
      <c r="BD39" s="6">
        <v>38</v>
      </c>
      <c r="BE39" s="6" t="s">
        <v>1644</v>
      </c>
      <c r="BF39" s="6" t="s">
        <v>496</v>
      </c>
      <c r="BI39" s="6" t="s">
        <v>514</v>
      </c>
      <c r="BK39" s="6" t="s">
        <v>709</v>
      </c>
    </row>
    <row r="40" spans="1:63" ht="15.75" customHeight="1" thickBot="1">
      <c r="A40" s="6">
        <v>39</v>
      </c>
      <c r="B40" s="8"/>
      <c r="C40" s="8"/>
      <c r="D40" s="8"/>
      <c r="E40" s="8"/>
      <c r="F40" s="8"/>
      <c r="G40" s="8"/>
      <c r="P40" t="s">
        <v>48</v>
      </c>
      <c r="AB40" s="161" t="s">
        <v>1944</v>
      </c>
      <c r="AC40" t="s">
        <v>2451</v>
      </c>
      <c r="AH40" t="s">
        <v>2693</v>
      </c>
      <c r="BC40" s="10">
        <v>43367</v>
      </c>
      <c r="BD40" s="6">
        <v>39</v>
      </c>
      <c r="BE40" s="6" t="s">
        <v>1644</v>
      </c>
      <c r="BF40" s="6" t="s">
        <v>496</v>
      </c>
      <c r="BI40" s="6" t="s">
        <v>515</v>
      </c>
      <c r="BK40" s="6" t="s">
        <v>710</v>
      </c>
    </row>
    <row r="41" spans="1:63" ht="15.75" customHeight="1" thickBot="1">
      <c r="A41" s="6">
        <v>40</v>
      </c>
      <c r="B41" s="8"/>
      <c r="C41" s="8"/>
      <c r="D41" s="8"/>
      <c r="E41" s="8"/>
      <c r="F41" s="8"/>
      <c r="G41" s="8"/>
      <c r="P41" t="s">
        <v>49</v>
      </c>
      <c r="AB41" s="161" t="s">
        <v>1945</v>
      </c>
      <c r="AC41" t="s">
        <v>2452</v>
      </c>
      <c r="AD41" s="171" t="s">
        <v>1612</v>
      </c>
      <c r="AH41" t="s">
        <v>2694</v>
      </c>
      <c r="BC41" s="10">
        <v>43374</v>
      </c>
      <c r="BD41" s="6">
        <v>40</v>
      </c>
      <c r="BE41" s="6" t="s">
        <v>1645</v>
      </c>
      <c r="BF41" s="6" t="s">
        <v>497</v>
      </c>
      <c r="BI41" s="6" t="s">
        <v>500</v>
      </c>
      <c r="BK41" s="6" t="s">
        <v>711</v>
      </c>
    </row>
    <row r="42" spans="1:63" ht="15.75" customHeight="1" thickBot="1">
      <c r="A42" s="6">
        <v>41</v>
      </c>
      <c r="B42" s="8"/>
      <c r="C42" s="8"/>
      <c r="D42" s="8"/>
      <c r="E42" s="8"/>
      <c r="F42" s="8"/>
      <c r="G42" s="8"/>
      <c r="P42" s="2" t="s">
        <v>1856</v>
      </c>
      <c r="AD42" s="162" t="s">
        <v>1635</v>
      </c>
      <c r="AH42" t="s">
        <v>2695</v>
      </c>
      <c r="BC42" s="10">
        <v>43381</v>
      </c>
      <c r="BD42" s="6">
        <v>41</v>
      </c>
      <c r="BE42" s="6" t="s">
        <v>1645</v>
      </c>
      <c r="BF42" s="6" t="s">
        <v>497</v>
      </c>
      <c r="BI42" s="6" t="s">
        <v>529</v>
      </c>
      <c r="BK42" s="6" t="s">
        <v>712</v>
      </c>
    </row>
    <row r="43" spans="1:63" ht="15.75" customHeight="1" thickBot="1">
      <c r="A43" s="6">
        <v>42</v>
      </c>
      <c r="B43" s="8"/>
      <c r="C43" s="8"/>
      <c r="D43" s="8"/>
      <c r="E43" s="8"/>
      <c r="F43" s="8"/>
      <c r="G43" s="8"/>
      <c r="P43" t="s">
        <v>2632</v>
      </c>
      <c r="AB43" s="171" t="s">
        <v>1941</v>
      </c>
      <c r="AD43" s="162" t="s">
        <v>2431</v>
      </c>
      <c r="BC43" s="10">
        <v>43388</v>
      </c>
      <c r="BD43" s="6">
        <v>42</v>
      </c>
      <c r="BE43" s="6" t="s">
        <v>1645</v>
      </c>
      <c r="BF43" s="6" t="s">
        <v>497</v>
      </c>
      <c r="BI43" s="6" t="s">
        <v>2599</v>
      </c>
      <c r="BK43" s="6" t="s">
        <v>713</v>
      </c>
    </row>
    <row r="44" spans="1:63" ht="15.75" customHeight="1">
      <c r="A44" s="6">
        <v>43</v>
      </c>
      <c r="B44" s="8"/>
      <c r="C44" s="8"/>
      <c r="D44" s="8"/>
      <c r="E44" s="8"/>
      <c r="F44" s="8"/>
      <c r="G44" s="8"/>
      <c r="P44" t="s">
        <v>2633</v>
      </c>
      <c r="AB44" s="162" t="s">
        <v>2696</v>
      </c>
      <c r="BC44" s="10">
        <v>43395</v>
      </c>
      <c r="BD44" s="6">
        <v>43</v>
      </c>
      <c r="BE44" s="6" t="s">
        <v>1645</v>
      </c>
      <c r="BF44" s="6" t="s">
        <v>497</v>
      </c>
      <c r="BI44" s="6" t="s">
        <v>2600</v>
      </c>
      <c r="BK44" s="6" t="s">
        <v>714</v>
      </c>
    </row>
    <row r="45" spans="1:63" ht="15.75" customHeight="1">
      <c r="A45" s="6">
        <v>44</v>
      </c>
      <c r="B45" s="8"/>
      <c r="C45" s="8"/>
      <c r="D45" s="8"/>
      <c r="E45" s="8"/>
      <c r="F45" s="8"/>
      <c r="G45" s="8"/>
      <c r="P45" t="s">
        <v>50</v>
      </c>
      <c r="AB45" s="162" t="s">
        <v>2700</v>
      </c>
      <c r="BC45" s="10">
        <v>43402</v>
      </c>
      <c r="BD45" s="6">
        <v>44</v>
      </c>
      <c r="BE45" s="6" t="s">
        <v>1646</v>
      </c>
      <c r="BF45" s="6" t="s">
        <v>497</v>
      </c>
      <c r="BI45" s="6" t="s">
        <v>530</v>
      </c>
      <c r="BK45" s="6" t="s">
        <v>715</v>
      </c>
    </row>
    <row r="46" spans="1:63" ht="15.75" customHeight="1">
      <c r="A46" s="6">
        <v>45</v>
      </c>
      <c r="B46" s="8"/>
      <c r="C46" s="8"/>
      <c r="D46" s="8"/>
      <c r="E46" s="8"/>
      <c r="F46" s="8"/>
      <c r="G46" s="8"/>
      <c r="P46" t="s">
        <v>27</v>
      </c>
      <c r="AB46" s="162" t="s">
        <v>2701</v>
      </c>
      <c r="BC46" s="10">
        <v>43409</v>
      </c>
      <c r="BD46" s="6">
        <v>45</v>
      </c>
      <c r="BE46" s="6" t="s">
        <v>1646</v>
      </c>
      <c r="BF46" s="6" t="s">
        <v>497</v>
      </c>
      <c r="BI46" s="6" t="s">
        <v>531</v>
      </c>
      <c r="BK46" s="6" t="s">
        <v>716</v>
      </c>
    </row>
    <row r="47" spans="1:63" ht="15.75" customHeight="1" thickBot="1">
      <c r="A47" s="6">
        <v>46</v>
      </c>
      <c r="B47" s="8"/>
      <c r="C47" s="8"/>
      <c r="D47" s="8"/>
      <c r="E47" s="8"/>
      <c r="F47" s="8"/>
      <c r="G47" s="8"/>
      <c r="P47" t="s">
        <v>51</v>
      </c>
      <c r="BC47" s="10">
        <v>43416</v>
      </c>
      <c r="BD47" s="6">
        <v>46</v>
      </c>
      <c r="BE47" s="6" t="s">
        <v>1646</v>
      </c>
      <c r="BF47" s="6" t="s">
        <v>497</v>
      </c>
      <c r="BI47" s="6" t="s">
        <v>532</v>
      </c>
      <c r="BK47" s="6" t="s">
        <v>717</v>
      </c>
    </row>
    <row r="48" spans="1:63" ht="15.75" customHeight="1" thickBot="1">
      <c r="A48" s="6">
        <v>47</v>
      </c>
      <c r="B48" s="8"/>
      <c r="C48" s="8"/>
      <c r="D48" s="8"/>
      <c r="E48" s="8"/>
      <c r="F48" s="8"/>
      <c r="G48" s="8"/>
      <c r="P48" t="s">
        <v>52</v>
      </c>
      <c r="AB48" s="171" t="s">
        <v>1944</v>
      </c>
      <c r="BC48" s="10">
        <v>43423</v>
      </c>
      <c r="BD48" s="6">
        <v>47</v>
      </c>
      <c r="BE48" s="6" t="s">
        <v>1646</v>
      </c>
      <c r="BF48" s="6" t="s">
        <v>497</v>
      </c>
      <c r="BI48" s="6" t="s">
        <v>533</v>
      </c>
      <c r="BK48" s="6" t="s">
        <v>719</v>
      </c>
    </row>
    <row r="49" spans="1:63" ht="15.75" customHeight="1">
      <c r="A49" s="6">
        <v>48</v>
      </c>
      <c r="B49" s="8"/>
      <c r="C49" s="8"/>
      <c r="D49" s="8"/>
      <c r="E49" s="8"/>
      <c r="F49" s="8"/>
      <c r="G49" s="8"/>
      <c r="P49" t="s">
        <v>53</v>
      </c>
      <c r="AB49" s="162" t="s">
        <v>2429</v>
      </c>
      <c r="BC49" s="10">
        <v>43430</v>
      </c>
      <c r="BD49" s="6">
        <v>48</v>
      </c>
      <c r="BE49" s="6" t="s">
        <v>1646</v>
      </c>
      <c r="BF49" s="6" t="s">
        <v>497</v>
      </c>
      <c r="BI49" s="6" t="s">
        <v>534</v>
      </c>
      <c r="BK49" s="6" t="s">
        <v>720</v>
      </c>
    </row>
    <row r="50" spans="1:63" ht="15.75" customHeight="1" thickBot="1">
      <c r="A50" s="6">
        <v>49</v>
      </c>
      <c r="B50" s="8"/>
      <c r="C50" s="8"/>
      <c r="D50" s="8"/>
      <c r="E50" s="8"/>
      <c r="F50" s="8"/>
      <c r="G50" s="8"/>
      <c r="P50" s="2" t="s">
        <v>54</v>
      </c>
      <c r="BC50" s="10">
        <v>43437</v>
      </c>
      <c r="BD50" s="6">
        <v>49</v>
      </c>
      <c r="BE50" s="6" t="s">
        <v>1647</v>
      </c>
      <c r="BF50" s="6" t="s">
        <v>497</v>
      </c>
      <c r="BI50" s="6" t="s">
        <v>535</v>
      </c>
      <c r="BK50" s="6" t="s">
        <v>721</v>
      </c>
    </row>
    <row r="51" spans="1:63" ht="15.75" customHeight="1" thickBot="1">
      <c r="A51" s="6">
        <v>50</v>
      </c>
      <c r="B51" s="9"/>
      <c r="C51" s="9"/>
      <c r="D51" s="9"/>
      <c r="E51" s="9"/>
      <c r="F51" s="9"/>
      <c r="G51" s="9"/>
      <c r="P51" t="s">
        <v>55</v>
      </c>
      <c r="AB51" s="171" t="s">
        <v>1945</v>
      </c>
      <c r="BC51" s="10">
        <v>43444</v>
      </c>
      <c r="BD51" s="6">
        <v>50</v>
      </c>
      <c r="BE51" s="6" t="s">
        <v>1647</v>
      </c>
      <c r="BF51" s="6" t="s">
        <v>497</v>
      </c>
      <c r="BI51" s="6" t="s">
        <v>2601</v>
      </c>
      <c r="BK51" s="6" t="s">
        <v>722</v>
      </c>
    </row>
    <row r="52" spans="1:63" ht="15.75" customHeight="1">
      <c r="P52" t="s">
        <v>56</v>
      </c>
      <c r="AB52" s="162" t="s">
        <v>2430</v>
      </c>
      <c r="BC52" s="10">
        <v>43451</v>
      </c>
      <c r="BD52" s="6">
        <v>51</v>
      </c>
      <c r="BE52" s="6" t="s">
        <v>1647</v>
      </c>
      <c r="BF52" s="6" t="s">
        <v>497</v>
      </c>
      <c r="BI52" s="6" t="s">
        <v>536</v>
      </c>
      <c r="BK52" s="6" t="s">
        <v>723</v>
      </c>
    </row>
    <row r="53" spans="1:63" ht="15.75" customHeight="1">
      <c r="P53" t="s">
        <v>44</v>
      </c>
      <c r="AB53" s="162" t="s">
        <v>2703</v>
      </c>
      <c r="BC53" s="10">
        <v>43458</v>
      </c>
      <c r="BD53" s="6">
        <v>52</v>
      </c>
      <c r="BE53" s="6" t="s">
        <v>1647</v>
      </c>
      <c r="BF53" s="6" t="s">
        <v>497</v>
      </c>
      <c r="BI53" s="6" t="s">
        <v>537</v>
      </c>
      <c r="BK53" s="6" t="s">
        <v>724</v>
      </c>
    </row>
    <row r="54" spans="1:63" ht="15.75" customHeight="1">
      <c r="P54" t="s">
        <v>57</v>
      </c>
      <c r="AB54" s="162" t="s">
        <v>2770</v>
      </c>
      <c r="BC54" s="10">
        <v>43465</v>
      </c>
      <c r="BD54" s="6">
        <v>53</v>
      </c>
      <c r="BE54" s="6"/>
      <c r="BI54" s="6" t="s">
        <v>538</v>
      </c>
      <c r="BK54" s="6" t="s">
        <v>725</v>
      </c>
    </row>
    <row r="55" spans="1:63" ht="15.75" customHeight="1">
      <c r="P55" t="s">
        <v>58</v>
      </c>
      <c r="AB55" s="162" t="s">
        <v>2771</v>
      </c>
      <c r="BC55" s="10">
        <v>43472</v>
      </c>
      <c r="BD55" s="6">
        <v>54</v>
      </c>
      <c r="BE55" s="6"/>
      <c r="BI55" s="6" t="s">
        <v>539</v>
      </c>
      <c r="BK55" s="6" t="s">
        <v>727</v>
      </c>
    </row>
    <row r="56" spans="1:63" ht="15.75" customHeight="1">
      <c r="P56" t="s">
        <v>59</v>
      </c>
      <c r="AB56" s="162" t="s">
        <v>2772</v>
      </c>
      <c r="BI56" s="6" t="s">
        <v>540</v>
      </c>
      <c r="BK56" s="6" t="s">
        <v>728</v>
      </c>
    </row>
    <row r="57" spans="1:63" ht="15.75" customHeight="1">
      <c r="P57" t="s">
        <v>60</v>
      </c>
      <c r="AB57" s="162" t="s">
        <v>2773</v>
      </c>
      <c r="BI57" s="6" t="s">
        <v>2602</v>
      </c>
      <c r="BK57" s="6" t="s">
        <v>729</v>
      </c>
    </row>
    <row r="58" spans="1:63" ht="15.75" customHeight="1">
      <c r="P58" s="2" t="s">
        <v>61</v>
      </c>
      <c r="BI58" s="6" t="s">
        <v>541</v>
      </c>
      <c r="BK58" s="6" t="s">
        <v>730</v>
      </c>
    </row>
    <row r="59" spans="1:63" ht="15.75" customHeight="1">
      <c r="P59" t="s">
        <v>62</v>
      </c>
      <c r="BI59" s="6" t="s">
        <v>542</v>
      </c>
      <c r="BK59" s="6" t="s">
        <v>731</v>
      </c>
    </row>
    <row r="60" spans="1:63" ht="15.75" customHeight="1">
      <c r="P60" t="s">
        <v>2623</v>
      </c>
      <c r="BI60" s="6" t="s">
        <v>543</v>
      </c>
      <c r="BK60" s="6" t="s">
        <v>732</v>
      </c>
    </row>
    <row r="61" spans="1:63" ht="15.75" customHeight="1">
      <c r="P61" t="s">
        <v>64</v>
      </c>
      <c r="BI61" s="6" t="s">
        <v>2603</v>
      </c>
      <c r="BK61" s="6" t="s">
        <v>733</v>
      </c>
    </row>
    <row r="62" spans="1:63" ht="15.75" customHeight="1">
      <c r="P62" t="s">
        <v>65</v>
      </c>
      <c r="BI62" s="6" t="s">
        <v>544</v>
      </c>
      <c r="BK62" s="6" t="s">
        <v>734</v>
      </c>
    </row>
    <row r="63" spans="1:63" ht="15.75" customHeight="1">
      <c r="P63" t="s">
        <v>66</v>
      </c>
      <c r="BI63" s="6" t="s">
        <v>545</v>
      </c>
      <c r="BK63" s="6" t="s">
        <v>735</v>
      </c>
    </row>
    <row r="64" spans="1:63" ht="15.75" customHeight="1">
      <c r="P64" t="s">
        <v>67</v>
      </c>
      <c r="BI64" s="6" t="s">
        <v>546</v>
      </c>
      <c r="BK64" s="6" t="s">
        <v>736</v>
      </c>
    </row>
    <row r="65" spans="16:63" ht="15.75" customHeight="1">
      <c r="P65" t="s">
        <v>2624</v>
      </c>
      <c r="BI65" s="6" t="s">
        <v>547</v>
      </c>
      <c r="BK65" s="6" t="s">
        <v>737</v>
      </c>
    </row>
    <row r="66" spans="16:63" ht="15.75" customHeight="1">
      <c r="P66" t="s">
        <v>68</v>
      </c>
      <c r="BI66" s="6" t="s">
        <v>548</v>
      </c>
      <c r="BK66" s="6" t="s">
        <v>738</v>
      </c>
    </row>
    <row r="67" spans="16:63" ht="15.75" customHeight="1">
      <c r="P67" t="s">
        <v>69</v>
      </c>
      <c r="BI67" s="6" t="s">
        <v>549</v>
      </c>
      <c r="BK67" s="6" t="s">
        <v>739</v>
      </c>
    </row>
    <row r="68" spans="16:63" ht="15.75" customHeight="1">
      <c r="P68" t="s">
        <v>70</v>
      </c>
      <c r="BI68" s="6" t="s">
        <v>550</v>
      </c>
      <c r="BK68" s="6" t="s">
        <v>740</v>
      </c>
    </row>
    <row r="69" spans="16:63" ht="15.75" customHeight="1">
      <c r="P69" s="2" t="s">
        <v>71</v>
      </c>
      <c r="BI69" s="6" t="s">
        <v>551</v>
      </c>
      <c r="BK69" s="6" t="s">
        <v>741</v>
      </c>
    </row>
    <row r="70" spans="16:63" ht="15.75" customHeight="1">
      <c r="P70" t="s">
        <v>72</v>
      </c>
      <c r="BI70" s="6" t="s">
        <v>552</v>
      </c>
      <c r="BK70" s="6" t="s">
        <v>742</v>
      </c>
    </row>
    <row r="71" spans="16:63" ht="15.75" customHeight="1">
      <c r="P71" t="s">
        <v>2628</v>
      </c>
      <c r="BI71" s="6" t="s">
        <v>553</v>
      </c>
      <c r="BK71" s="6" t="s">
        <v>743</v>
      </c>
    </row>
    <row r="72" spans="16:63" ht="15.75" customHeight="1">
      <c r="P72" t="s">
        <v>2629</v>
      </c>
      <c r="BI72" s="6" t="s">
        <v>554</v>
      </c>
      <c r="BK72" s="6" t="s">
        <v>744</v>
      </c>
    </row>
    <row r="73" spans="16:63" ht="15.75" customHeight="1">
      <c r="P73" t="s">
        <v>2630</v>
      </c>
      <c r="BI73" s="6" t="s">
        <v>555</v>
      </c>
      <c r="BK73" s="6" t="s">
        <v>745</v>
      </c>
    </row>
    <row r="74" spans="16:63" ht="15.75" customHeight="1">
      <c r="P74" t="s">
        <v>73</v>
      </c>
      <c r="BI74" s="6" t="s">
        <v>556</v>
      </c>
      <c r="BK74" s="6" t="s">
        <v>746</v>
      </c>
    </row>
    <row r="75" spans="16:63" ht="15.75" customHeight="1">
      <c r="P75" t="s">
        <v>74</v>
      </c>
      <c r="BI75" s="6" t="s">
        <v>557</v>
      </c>
      <c r="BK75" s="6" t="s">
        <v>747</v>
      </c>
    </row>
    <row r="76" spans="16:63" ht="15.75" customHeight="1">
      <c r="P76" t="s">
        <v>75</v>
      </c>
      <c r="BI76" s="6" t="s">
        <v>558</v>
      </c>
      <c r="BK76" s="6" t="s">
        <v>748</v>
      </c>
    </row>
    <row r="77" spans="16:63" ht="15.75" customHeight="1">
      <c r="P77" t="s">
        <v>76</v>
      </c>
      <c r="BI77" s="6" t="s">
        <v>559</v>
      </c>
      <c r="BK77" s="6" t="s">
        <v>749</v>
      </c>
    </row>
    <row r="78" spans="16:63" ht="15.75" customHeight="1">
      <c r="P78" t="s">
        <v>77</v>
      </c>
      <c r="BI78" s="6" t="s">
        <v>560</v>
      </c>
      <c r="BK78" s="6" t="s">
        <v>750</v>
      </c>
    </row>
    <row r="79" spans="16:63" ht="15.75" customHeight="1">
      <c r="P79" t="s">
        <v>78</v>
      </c>
      <c r="BI79" s="6" t="s">
        <v>561</v>
      </c>
      <c r="BK79" s="6" t="s">
        <v>751</v>
      </c>
    </row>
    <row r="80" spans="16:63" ht="15.75" customHeight="1">
      <c r="P80" t="s">
        <v>2631</v>
      </c>
      <c r="BI80" s="6" t="s">
        <v>562</v>
      </c>
      <c r="BK80" s="6" t="s">
        <v>752</v>
      </c>
    </row>
    <row r="81" spans="16:63" ht="15.75" customHeight="1">
      <c r="P81" t="s">
        <v>79</v>
      </c>
      <c r="BI81" s="6" t="s">
        <v>563</v>
      </c>
      <c r="BK81" s="6" t="s">
        <v>753</v>
      </c>
    </row>
    <row r="82" spans="16:63" ht="15.75" customHeight="1">
      <c r="P82" t="s">
        <v>80</v>
      </c>
      <c r="BI82" s="6" t="s">
        <v>564</v>
      </c>
      <c r="BK82" s="6" t="s">
        <v>754</v>
      </c>
    </row>
    <row r="83" spans="16:63" ht="15.75" customHeight="1">
      <c r="P83" t="s">
        <v>81</v>
      </c>
      <c r="BI83" s="6" t="s">
        <v>565</v>
      </c>
      <c r="BK83" s="6" t="s">
        <v>755</v>
      </c>
    </row>
    <row r="84" spans="16:63" ht="15.75" customHeight="1">
      <c r="P84" s="2" t="s">
        <v>82</v>
      </c>
      <c r="BI84" s="6" t="s">
        <v>566</v>
      </c>
      <c r="BK84" s="6" t="s">
        <v>756</v>
      </c>
    </row>
    <row r="85" spans="16:63" ht="15.75" customHeight="1">
      <c r="P85" t="s">
        <v>83</v>
      </c>
      <c r="BI85" s="6" t="s">
        <v>567</v>
      </c>
      <c r="BK85" s="6" t="s">
        <v>757</v>
      </c>
    </row>
    <row r="86" spans="16:63" ht="15.75" customHeight="1">
      <c r="P86" t="s">
        <v>84</v>
      </c>
      <c r="BI86" s="6" t="s">
        <v>568</v>
      </c>
      <c r="BK86" s="6" t="s">
        <v>758</v>
      </c>
    </row>
    <row r="87" spans="16:63" ht="15.75" customHeight="1">
      <c r="P87" t="s">
        <v>85</v>
      </c>
      <c r="BI87" s="6" t="s">
        <v>569</v>
      </c>
      <c r="BK87" s="6" t="s">
        <v>759</v>
      </c>
    </row>
    <row r="88" spans="16:63" ht="15.75" customHeight="1">
      <c r="P88" t="s">
        <v>86</v>
      </c>
      <c r="BI88" s="6" t="s">
        <v>570</v>
      </c>
      <c r="BK88" s="6" t="s">
        <v>760</v>
      </c>
    </row>
    <row r="89" spans="16:63" ht="15.75" customHeight="1">
      <c r="P89" t="s">
        <v>87</v>
      </c>
      <c r="BI89" s="6" t="s">
        <v>571</v>
      </c>
      <c r="BK89" s="6" t="s">
        <v>761</v>
      </c>
    </row>
    <row r="90" spans="16:63" ht="15.75" customHeight="1">
      <c r="P90" t="s">
        <v>88</v>
      </c>
      <c r="BI90" s="6" t="s">
        <v>572</v>
      </c>
      <c r="BK90" s="6" t="s">
        <v>762</v>
      </c>
    </row>
    <row r="91" spans="16:63" ht="15.75" customHeight="1">
      <c r="P91" t="s">
        <v>89</v>
      </c>
      <c r="BI91" s="6" t="s">
        <v>573</v>
      </c>
      <c r="BK91" s="6" t="s">
        <v>763</v>
      </c>
    </row>
    <row r="92" spans="16:63" ht="15.75" customHeight="1">
      <c r="P92" t="s">
        <v>90</v>
      </c>
      <c r="BI92" s="6" t="s">
        <v>574</v>
      </c>
      <c r="BK92" s="6" t="s">
        <v>764</v>
      </c>
    </row>
    <row r="93" spans="16:63" ht="15.75" customHeight="1">
      <c r="P93" t="s">
        <v>91</v>
      </c>
      <c r="BI93" s="6" t="s">
        <v>2604</v>
      </c>
      <c r="BK93" s="6" t="s">
        <v>765</v>
      </c>
    </row>
    <row r="94" spans="16:63" ht="15.75" customHeight="1">
      <c r="P94" t="s">
        <v>92</v>
      </c>
      <c r="BI94" s="6" t="s">
        <v>2605</v>
      </c>
      <c r="BK94" s="6" t="s">
        <v>766</v>
      </c>
    </row>
    <row r="95" spans="16:63" ht="15.75" customHeight="1">
      <c r="P95" t="s">
        <v>93</v>
      </c>
      <c r="BI95" s="6" t="s">
        <v>2606</v>
      </c>
      <c r="BK95" s="6" t="s">
        <v>767</v>
      </c>
    </row>
    <row r="96" spans="16:63" ht="15.75" customHeight="1">
      <c r="P96" t="s">
        <v>94</v>
      </c>
      <c r="BI96" s="6" t="s">
        <v>575</v>
      </c>
      <c r="BK96" s="6" t="s">
        <v>768</v>
      </c>
    </row>
    <row r="97" spans="16:63" ht="15.75" customHeight="1">
      <c r="P97" t="s">
        <v>95</v>
      </c>
      <c r="BI97" s="6" t="s">
        <v>576</v>
      </c>
      <c r="BK97" s="6" t="s">
        <v>769</v>
      </c>
    </row>
    <row r="98" spans="16:63" ht="15.75" customHeight="1">
      <c r="P98" t="s">
        <v>96</v>
      </c>
      <c r="BI98" s="6" t="s">
        <v>577</v>
      </c>
      <c r="BK98" s="6" t="s">
        <v>770</v>
      </c>
    </row>
    <row r="99" spans="16:63" ht="15.75" customHeight="1">
      <c r="P99" t="s">
        <v>97</v>
      </c>
      <c r="BI99" s="6" t="s">
        <v>578</v>
      </c>
      <c r="BK99" s="6" t="s">
        <v>771</v>
      </c>
    </row>
    <row r="100" spans="16:63" ht="15.75" customHeight="1">
      <c r="P100" t="s">
        <v>98</v>
      </c>
      <c r="BI100" s="6" t="s">
        <v>579</v>
      </c>
      <c r="BK100" s="6" t="s">
        <v>772</v>
      </c>
    </row>
    <row r="101" spans="16:63" ht="15.75" customHeight="1">
      <c r="P101" t="s">
        <v>99</v>
      </c>
      <c r="BI101" s="6" t="s">
        <v>580</v>
      </c>
      <c r="BK101" s="6" t="s">
        <v>773</v>
      </c>
    </row>
    <row r="102" spans="16:63" ht="15.75" customHeight="1">
      <c r="P102" t="s">
        <v>100</v>
      </c>
      <c r="BI102" s="6" t="s">
        <v>581</v>
      </c>
      <c r="BK102" s="6" t="s">
        <v>774</v>
      </c>
    </row>
    <row r="103" spans="16:63" ht="15.75" customHeight="1">
      <c r="P103" t="s">
        <v>101</v>
      </c>
      <c r="BI103" s="6" t="s">
        <v>2607</v>
      </c>
      <c r="BK103" s="6" t="s">
        <v>775</v>
      </c>
    </row>
    <row r="104" spans="16:63" ht="15.75" customHeight="1">
      <c r="P104" t="s">
        <v>102</v>
      </c>
      <c r="BI104" s="6" t="s">
        <v>582</v>
      </c>
      <c r="BK104" s="6" t="s">
        <v>776</v>
      </c>
    </row>
    <row r="105" spans="16:63" ht="15.75" customHeight="1">
      <c r="P105" t="s">
        <v>103</v>
      </c>
      <c r="BI105" s="6" t="s">
        <v>583</v>
      </c>
      <c r="BK105" s="6" t="s">
        <v>777</v>
      </c>
    </row>
    <row r="106" spans="16:63" ht="15.75" customHeight="1">
      <c r="P106" t="s">
        <v>104</v>
      </c>
      <c r="BI106" s="6" t="s">
        <v>586</v>
      </c>
      <c r="BK106" s="6" t="s">
        <v>778</v>
      </c>
    </row>
    <row r="107" spans="16:63" ht="15.75" customHeight="1">
      <c r="P107" t="s">
        <v>105</v>
      </c>
      <c r="BI107" s="6" t="s">
        <v>587</v>
      </c>
      <c r="BK107" s="6" t="s">
        <v>779</v>
      </c>
    </row>
    <row r="108" spans="16:63" ht="15.75" customHeight="1">
      <c r="P108" t="s">
        <v>106</v>
      </c>
      <c r="BI108" s="6" t="s">
        <v>588</v>
      </c>
      <c r="BK108" s="6" t="s">
        <v>780</v>
      </c>
    </row>
    <row r="109" spans="16:63" ht="15.75" customHeight="1">
      <c r="P109" t="s">
        <v>107</v>
      </c>
      <c r="BI109" s="6" t="s">
        <v>2608</v>
      </c>
      <c r="BK109" s="6" t="s">
        <v>781</v>
      </c>
    </row>
    <row r="110" spans="16:63" ht="15.75" customHeight="1">
      <c r="P110" t="s">
        <v>108</v>
      </c>
      <c r="BI110" s="6" t="s">
        <v>589</v>
      </c>
      <c r="BK110" s="6" t="s">
        <v>782</v>
      </c>
    </row>
    <row r="111" spans="16:63">
      <c r="P111" t="s">
        <v>109</v>
      </c>
      <c r="BI111" s="6" t="s">
        <v>590</v>
      </c>
      <c r="BK111" s="6" t="s">
        <v>783</v>
      </c>
    </row>
    <row r="112" spans="16:63">
      <c r="P112" t="s">
        <v>110</v>
      </c>
      <c r="BI112" s="6" t="s">
        <v>591</v>
      </c>
      <c r="BK112" s="6" t="s">
        <v>784</v>
      </c>
    </row>
    <row r="113" spans="16:63">
      <c r="P113" t="s">
        <v>111</v>
      </c>
      <c r="BI113" s="6" t="s">
        <v>593</v>
      </c>
      <c r="BK113" s="6" t="s">
        <v>785</v>
      </c>
    </row>
    <row r="114" spans="16:63">
      <c r="P114" t="s">
        <v>112</v>
      </c>
      <c r="BI114" s="6" t="s">
        <v>595</v>
      </c>
      <c r="BK114" s="6" t="s">
        <v>786</v>
      </c>
    </row>
    <row r="115" spans="16:63">
      <c r="P115" t="s">
        <v>113</v>
      </c>
      <c r="BI115" s="6" t="s">
        <v>597</v>
      </c>
      <c r="BK115" s="6" t="s">
        <v>787</v>
      </c>
    </row>
    <row r="116" spans="16:63">
      <c r="P116" t="s">
        <v>114</v>
      </c>
      <c r="BI116" s="6" t="s">
        <v>600</v>
      </c>
      <c r="BK116" s="6" t="s">
        <v>788</v>
      </c>
    </row>
    <row r="117" spans="16:63">
      <c r="P117" t="s">
        <v>115</v>
      </c>
      <c r="BI117" s="6" t="s">
        <v>598</v>
      </c>
      <c r="BK117" s="6" t="s">
        <v>789</v>
      </c>
    </row>
    <row r="118" spans="16:63">
      <c r="P118" t="s">
        <v>116</v>
      </c>
      <c r="BI118" s="6" t="s">
        <v>601</v>
      </c>
      <c r="BK118" s="6" t="s">
        <v>790</v>
      </c>
    </row>
    <row r="119" spans="16:63">
      <c r="P119" t="s">
        <v>117</v>
      </c>
      <c r="BI119" s="6" t="s">
        <v>602</v>
      </c>
      <c r="BK119" s="6" t="s">
        <v>791</v>
      </c>
    </row>
    <row r="120" spans="16:63">
      <c r="P120" t="s">
        <v>118</v>
      </c>
      <c r="BI120" s="6" t="s">
        <v>604</v>
      </c>
      <c r="BK120" s="6" t="s">
        <v>792</v>
      </c>
    </row>
    <row r="121" spans="16:63">
      <c r="P121" s="2" t="s">
        <v>119</v>
      </c>
      <c r="BI121" s="6" t="s">
        <v>607</v>
      </c>
      <c r="BK121" s="6" t="s">
        <v>793</v>
      </c>
    </row>
    <row r="122" spans="16:63">
      <c r="P122" t="s">
        <v>120</v>
      </c>
      <c r="BI122" s="6" t="s">
        <v>608</v>
      </c>
      <c r="BK122" s="6" t="s">
        <v>794</v>
      </c>
    </row>
    <row r="123" spans="16:63">
      <c r="P123" t="s">
        <v>121</v>
      </c>
      <c r="BI123" s="6" t="s">
        <v>610</v>
      </c>
      <c r="BK123" s="6" t="s">
        <v>795</v>
      </c>
    </row>
    <row r="124" spans="16:63">
      <c r="P124" t="s">
        <v>122</v>
      </c>
      <c r="BI124" s="6" t="s">
        <v>612</v>
      </c>
      <c r="BK124" s="6" t="s">
        <v>796</v>
      </c>
    </row>
    <row r="125" spans="16:63">
      <c r="P125" t="s">
        <v>123</v>
      </c>
      <c r="BI125" s="6" t="s">
        <v>614</v>
      </c>
      <c r="BK125" s="6" t="s">
        <v>797</v>
      </c>
    </row>
    <row r="126" spans="16:63">
      <c r="P126" t="s">
        <v>124</v>
      </c>
      <c r="BI126" s="6" t="s">
        <v>615</v>
      </c>
      <c r="BK126" s="6" t="s">
        <v>799</v>
      </c>
    </row>
    <row r="127" spans="16:63">
      <c r="P127" t="s">
        <v>125</v>
      </c>
      <c r="BI127" s="6" t="s">
        <v>617</v>
      </c>
      <c r="BK127" s="6" t="s">
        <v>798</v>
      </c>
    </row>
    <row r="128" spans="16:63">
      <c r="P128" t="s">
        <v>126</v>
      </c>
      <c r="BI128" s="6" t="s">
        <v>618</v>
      </c>
      <c r="BK128" s="6" t="s">
        <v>800</v>
      </c>
    </row>
    <row r="129" spans="16:63">
      <c r="P129" t="s">
        <v>63</v>
      </c>
      <c r="BI129" s="6" t="s">
        <v>619</v>
      </c>
      <c r="BK129" s="6" t="s">
        <v>801</v>
      </c>
    </row>
    <row r="130" spans="16:63">
      <c r="P130" s="3" t="s">
        <v>127</v>
      </c>
      <c r="BI130" s="6" t="s">
        <v>620</v>
      </c>
      <c r="BK130" s="6" t="s">
        <v>802</v>
      </c>
    </row>
    <row r="131" spans="16:63">
      <c r="P131" t="s">
        <v>2627</v>
      </c>
      <c r="BI131" s="6" t="s">
        <v>621</v>
      </c>
      <c r="BK131" s="6" t="s">
        <v>803</v>
      </c>
    </row>
    <row r="132" spans="16:63">
      <c r="P132" t="s">
        <v>2626</v>
      </c>
      <c r="BI132" s="6" t="s">
        <v>623</v>
      </c>
      <c r="BK132" s="6" t="s">
        <v>804</v>
      </c>
    </row>
    <row r="133" spans="16:63">
      <c r="P133" t="s">
        <v>128</v>
      </c>
      <c r="BI133" s="6" t="s">
        <v>624</v>
      </c>
      <c r="BK133" s="6" t="s">
        <v>805</v>
      </c>
    </row>
    <row r="134" spans="16:63">
      <c r="P134" t="s">
        <v>129</v>
      </c>
      <c r="BI134" s="6" t="s">
        <v>625</v>
      </c>
      <c r="BK134" s="6" t="s">
        <v>806</v>
      </c>
    </row>
    <row r="135" spans="16:63">
      <c r="P135" t="s">
        <v>130</v>
      </c>
      <c r="BI135" s="6" t="s">
        <v>628</v>
      </c>
      <c r="BK135" s="6" t="s">
        <v>807</v>
      </c>
    </row>
    <row r="136" spans="16:63">
      <c r="P136" t="s">
        <v>131</v>
      </c>
      <c r="BI136" s="6" t="s">
        <v>630</v>
      </c>
      <c r="BK136" s="6" t="s">
        <v>808</v>
      </c>
    </row>
    <row r="137" spans="16:63">
      <c r="P137" s="2" t="s">
        <v>132</v>
      </c>
      <c r="BI137" s="6" t="s">
        <v>631</v>
      </c>
      <c r="BK137" s="6" t="s">
        <v>809</v>
      </c>
    </row>
    <row r="138" spans="16:63">
      <c r="P138" t="s">
        <v>133</v>
      </c>
      <c r="BI138" s="6" t="s">
        <v>632</v>
      </c>
      <c r="BK138" s="6" t="s">
        <v>810</v>
      </c>
    </row>
    <row r="139" spans="16:63">
      <c r="P139" t="s">
        <v>134</v>
      </c>
      <c r="BI139" s="6" t="s">
        <v>633</v>
      </c>
      <c r="BK139" s="6" t="s">
        <v>811</v>
      </c>
    </row>
    <row r="140" spans="16:63">
      <c r="P140" t="s">
        <v>135</v>
      </c>
      <c r="BI140" s="6" t="s">
        <v>635</v>
      </c>
      <c r="BK140" s="6" t="s">
        <v>812</v>
      </c>
    </row>
    <row r="141" spans="16:63">
      <c r="P141" t="s">
        <v>136</v>
      </c>
      <c r="BI141" s="6" t="s">
        <v>637</v>
      </c>
      <c r="BK141" s="6" t="s">
        <v>843</v>
      </c>
    </row>
    <row r="142" spans="16:63">
      <c r="P142" t="s">
        <v>137</v>
      </c>
      <c r="BI142" s="6" t="s">
        <v>638</v>
      </c>
      <c r="BK142" s="6" t="s">
        <v>813</v>
      </c>
    </row>
    <row r="143" spans="16:63">
      <c r="P143" t="s">
        <v>138</v>
      </c>
      <c r="BI143" s="6" t="s">
        <v>640</v>
      </c>
      <c r="BK143" s="6" t="s">
        <v>814</v>
      </c>
    </row>
    <row r="144" spans="16:63">
      <c r="P144" t="s">
        <v>139</v>
      </c>
      <c r="BI144" s="6" t="s">
        <v>641</v>
      </c>
      <c r="BK144" s="6" t="s">
        <v>815</v>
      </c>
    </row>
    <row r="145" spans="16:63">
      <c r="P145" t="s">
        <v>140</v>
      </c>
      <c r="BI145" s="6" t="s">
        <v>642</v>
      </c>
      <c r="BK145" s="6" t="s">
        <v>816</v>
      </c>
    </row>
    <row r="146" spans="16:63">
      <c r="P146" t="s">
        <v>141</v>
      </c>
      <c r="BI146" s="6" t="s">
        <v>643</v>
      </c>
      <c r="BK146" s="6" t="s">
        <v>817</v>
      </c>
    </row>
    <row r="147" spans="16:63">
      <c r="P147" s="2" t="s">
        <v>142</v>
      </c>
      <c r="BI147" s="6" t="s">
        <v>644</v>
      </c>
      <c r="BK147" s="6" t="s">
        <v>818</v>
      </c>
    </row>
    <row r="148" spans="16:63">
      <c r="P148" t="s">
        <v>143</v>
      </c>
      <c r="BI148" s="6" t="s">
        <v>645</v>
      </c>
      <c r="BK148" s="6" t="s">
        <v>819</v>
      </c>
    </row>
    <row r="149" spans="16:63">
      <c r="P149" t="s">
        <v>144</v>
      </c>
      <c r="BI149" s="6" t="s">
        <v>2609</v>
      </c>
      <c r="BK149" s="6" t="s">
        <v>820</v>
      </c>
    </row>
    <row r="150" spans="16:63">
      <c r="P150" t="s">
        <v>145</v>
      </c>
      <c r="BI150" s="6" t="s">
        <v>2610</v>
      </c>
      <c r="BK150" s="6" t="s">
        <v>821</v>
      </c>
    </row>
    <row r="151" spans="16:63">
      <c r="P151" t="s">
        <v>146</v>
      </c>
      <c r="BI151" s="6" t="s">
        <v>499</v>
      </c>
      <c r="BK151" s="6" t="s">
        <v>822</v>
      </c>
    </row>
    <row r="152" spans="16:63">
      <c r="P152" t="s">
        <v>147</v>
      </c>
      <c r="BI152" s="6" t="s">
        <v>2611</v>
      </c>
      <c r="BK152" s="6" t="s">
        <v>823</v>
      </c>
    </row>
    <row r="153" spans="16:63">
      <c r="P153" t="s">
        <v>148</v>
      </c>
      <c r="BI153" s="6" t="s">
        <v>649</v>
      </c>
      <c r="BK153" s="6" t="s">
        <v>824</v>
      </c>
    </row>
    <row r="154" spans="16:63">
      <c r="P154" t="s">
        <v>149</v>
      </c>
      <c r="BI154" s="6" t="s">
        <v>527</v>
      </c>
      <c r="BK154" s="6" t="s">
        <v>825</v>
      </c>
    </row>
    <row r="155" spans="16:63">
      <c r="P155" t="s">
        <v>150</v>
      </c>
      <c r="BI155" s="6" t="s">
        <v>585</v>
      </c>
      <c r="BK155" s="6" t="s">
        <v>826</v>
      </c>
    </row>
    <row r="156" spans="16:63">
      <c r="P156" t="s">
        <v>151</v>
      </c>
      <c r="BI156" s="6" t="s">
        <v>653</v>
      </c>
      <c r="BK156" s="6" t="s">
        <v>827</v>
      </c>
    </row>
    <row r="157" spans="16:63">
      <c r="P157" t="s">
        <v>2625</v>
      </c>
      <c r="BI157" s="6" t="s">
        <v>2612</v>
      </c>
      <c r="BK157" s="6" t="s">
        <v>828</v>
      </c>
    </row>
    <row r="158" spans="16:63">
      <c r="P158" t="s">
        <v>2626</v>
      </c>
      <c r="BI158" s="6" t="s">
        <v>651</v>
      </c>
      <c r="BK158" s="6" t="s">
        <v>829</v>
      </c>
    </row>
    <row r="159" spans="16:63">
      <c r="P159" t="s">
        <v>152</v>
      </c>
      <c r="BI159" s="6" t="s">
        <v>652</v>
      </c>
      <c r="BK159" s="6" t="s">
        <v>830</v>
      </c>
    </row>
    <row r="160" spans="16:63">
      <c r="P160" t="s">
        <v>153</v>
      </c>
      <c r="BI160" s="6" t="s">
        <v>2613</v>
      </c>
      <c r="BK160" s="6" t="s">
        <v>831</v>
      </c>
    </row>
    <row r="161" spans="16:63">
      <c r="P161" t="s">
        <v>154</v>
      </c>
      <c r="BI161" s="6" t="s">
        <v>2614</v>
      </c>
      <c r="BK161" s="6" t="s">
        <v>832</v>
      </c>
    </row>
    <row r="162" spans="16:63">
      <c r="P162" t="s">
        <v>155</v>
      </c>
      <c r="BI162" s="6" t="s">
        <v>2615</v>
      </c>
      <c r="BK162" s="6" t="s">
        <v>833</v>
      </c>
    </row>
    <row r="163" spans="16:63">
      <c r="P163" t="s">
        <v>156</v>
      </c>
      <c r="BI163" s="6" t="s">
        <v>654</v>
      </c>
      <c r="BK163" s="6" t="s">
        <v>834</v>
      </c>
    </row>
    <row r="164" spans="16:63">
      <c r="P164" t="s">
        <v>157</v>
      </c>
      <c r="BI164" s="6" t="s">
        <v>655</v>
      </c>
      <c r="BK164" s="6" t="s">
        <v>835</v>
      </c>
    </row>
    <row r="165" spans="16:63">
      <c r="P165" s="2" t="s">
        <v>158</v>
      </c>
      <c r="BI165" s="6" t="s">
        <v>657</v>
      </c>
      <c r="BK165" s="6" t="s">
        <v>836</v>
      </c>
    </row>
    <row r="166" spans="16:63">
      <c r="P166" t="s">
        <v>159</v>
      </c>
      <c r="BI166" s="6" t="s">
        <v>659</v>
      </c>
      <c r="BK166" s="6" t="s">
        <v>837</v>
      </c>
    </row>
    <row r="167" spans="16:63">
      <c r="P167" t="s">
        <v>160</v>
      </c>
      <c r="BI167" s="6" t="s">
        <v>2616</v>
      </c>
      <c r="BK167" s="6" t="s">
        <v>838</v>
      </c>
    </row>
    <row r="168" spans="16:63">
      <c r="P168" s="3" t="s">
        <v>161</v>
      </c>
      <c r="BI168" s="6" t="s">
        <v>1261</v>
      </c>
      <c r="BK168" s="6" t="s">
        <v>840</v>
      </c>
    </row>
    <row r="169" spans="16:63">
      <c r="P169" s="3" t="s">
        <v>162</v>
      </c>
      <c r="BI169" s="6" t="s">
        <v>2617</v>
      </c>
      <c r="BK169" s="6" t="s">
        <v>842</v>
      </c>
    </row>
    <row r="170" spans="16:63">
      <c r="P170" s="3" t="s">
        <v>163</v>
      </c>
      <c r="BI170" s="6" t="s">
        <v>660</v>
      </c>
      <c r="BK170" s="6" t="s">
        <v>844</v>
      </c>
    </row>
    <row r="171" spans="16:63">
      <c r="P171" t="s">
        <v>164</v>
      </c>
      <c r="BI171" s="6" t="s">
        <v>662</v>
      </c>
      <c r="BK171" s="6" t="s">
        <v>845</v>
      </c>
    </row>
    <row r="172" spans="16:63">
      <c r="P172" t="s">
        <v>165</v>
      </c>
      <c r="BI172" s="6" t="s">
        <v>661</v>
      </c>
      <c r="BK172" s="6" t="s">
        <v>846</v>
      </c>
    </row>
    <row r="173" spans="16:63">
      <c r="P173" t="s">
        <v>166</v>
      </c>
      <c r="BI173" s="6" t="s">
        <v>2618</v>
      </c>
      <c r="BK173" s="6" t="s">
        <v>934</v>
      </c>
    </row>
    <row r="174" spans="16:63">
      <c r="P174" t="s">
        <v>167</v>
      </c>
      <c r="BI174" s="6" t="s">
        <v>2619</v>
      </c>
      <c r="BK174" s="6" t="s">
        <v>847</v>
      </c>
    </row>
    <row r="175" spans="16:63">
      <c r="P175" t="s">
        <v>168</v>
      </c>
      <c r="BI175" s="6" t="s">
        <v>666</v>
      </c>
      <c r="BK175" s="6" t="s">
        <v>848</v>
      </c>
    </row>
    <row r="176" spans="16:63">
      <c r="P176" t="s">
        <v>169</v>
      </c>
      <c r="BI176" s="6" t="s">
        <v>667</v>
      </c>
      <c r="BK176" s="6" t="s">
        <v>849</v>
      </c>
    </row>
    <row r="177" spans="16:63">
      <c r="P177" t="s">
        <v>170</v>
      </c>
      <c r="BI177" s="6" t="s">
        <v>668</v>
      </c>
      <c r="BK177" s="6" t="s">
        <v>850</v>
      </c>
    </row>
    <row r="178" spans="16:63">
      <c r="P178" t="s">
        <v>175</v>
      </c>
      <c r="BI178" s="6" t="s">
        <v>2620</v>
      </c>
      <c r="BK178" s="6" t="s">
        <v>851</v>
      </c>
    </row>
    <row r="179" spans="16:63">
      <c r="P179" t="s">
        <v>171</v>
      </c>
      <c r="BI179" s="6" t="s">
        <v>671</v>
      </c>
      <c r="BK179" s="6" t="s">
        <v>852</v>
      </c>
    </row>
    <row r="180" spans="16:63">
      <c r="P180" t="s">
        <v>172</v>
      </c>
      <c r="BI180" s="6" t="s">
        <v>2621</v>
      </c>
      <c r="BK180" s="6" t="s">
        <v>853</v>
      </c>
    </row>
    <row r="181" spans="16:63">
      <c r="P181" t="s">
        <v>173</v>
      </c>
      <c r="BI181" s="6" t="s">
        <v>2622</v>
      </c>
      <c r="BK181" s="6" t="s">
        <v>854</v>
      </c>
    </row>
    <row r="182" spans="16:63">
      <c r="P182" s="3" t="s">
        <v>174</v>
      </c>
      <c r="BI182" s="6" t="s">
        <v>591</v>
      </c>
      <c r="BK182" s="6" t="s">
        <v>855</v>
      </c>
    </row>
    <row r="183" spans="16:63">
      <c r="P183" t="s">
        <v>176</v>
      </c>
      <c r="BI183" s="6" t="s">
        <v>592</v>
      </c>
      <c r="BK183" s="6" t="s">
        <v>856</v>
      </c>
    </row>
    <row r="184" spans="16:63">
      <c r="P184" t="s">
        <v>177</v>
      </c>
      <c r="BI184" s="6" t="s">
        <v>593</v>
      </c>
      <c r="BK184" s="6" t="s">
        <v>857</v>
      </c>
    </row>
    <row r="185" spans="16:63">
      <c r="P185" t="s">
        <v>178</v>
      </c>
      <c r="BI185" s="6" t="s">
        <v>594</v>
      </c>
      <c r="BK185" s="6" t="s">
        <v>858</v>
      </c>
    </row>
    <row r="186" spans="16:63">
      <c r="P186" t="s">
        <v>179</v>
      </c>
      <c r="BI186" s="6" t="s">
        <v>595</v>
      </c>
      <c r="BK186" s="6" t="s">
        <v>859</v>
      </c>
    </row>
    <row r="187" spans="16:63">
      <c r="P187" s="2" t="s">
        <v>199</v>
      </c>
      <c r="BI187" s="6" t="s">
        <v>596</v>
      </c>
      <c r="BK187" s="6" t="s">
        <v>860</v>
      </c>
    </row>
    <row r="188" spans="16:63">
      <c r="P188" t="s">
        <v>424</v>
      </c>
      <c r="BI188" s="6" t="s">
        <v>597</v>
      </c>
      <c r="BK188" s="6" t="s">
        <v>861</v>
      </c>
    </row>
    <row r="189" spans="16:63">
      <c r="P189" t="s">
        <v>415</v>
      </c>
      <c r="BI189" s="6" t="s">
        <v>598</v>
      </c>
      <c r="BK189" s="6" t="s">
        <v>862</v>
      </c>
    </row>
    <row r="190" spans="16:63">
      <c r="P190" t="s">
        <v>2635</v>
      </c>
      <c r="BI190" s="6" t="s">
        <v>599</v>
      </c>
      <c r="BK190" s="6" t="s">
        <v>863</v>
      </c>
    </row>
    <row r="191" spans="16:63">
      <c r="P191" t="s">
        <v>416</v>
      </c>
      <c r="BI191" s="6" t="s">
        <v>600</v>
      </c>
      <c r="BK191" s="6" t="s">
        <v>864</v>
      </c>
    </row>
    <row r="192" spans="16:63">
      <c r="P192" t="s">
        <v>417</v>
      </c>
      <c r="BI192" s="6" t="s">
        <v>601</v>
      </c>
      <c r="BK192" s="6" t="s">
        <v>865</v>
      </c>
    </row>
    <row r="193" spans="16:63">
      <c r="P193" t="s">
        <v>418</v>
      </c>
      <c r="BI193" s="6" t="s">
        <v>602</v>
      </c>
      <c r="BK193" s="6" t="s">
        <v>866</v>
      </c>
    </row>
    <row r="194" spans="16:63">
      <c r="P194" t="s">
        <v>419</v>
      </c>
      <c r="BI194" s="6" t="s">
        <v>603</v>
      </c>
      <c r="BK194" s="6" t="s">
        <v>867</v>
      </c>
    </row>
    <row r="195" spans="16:63">
      <c r="P195" t="s">
        <v>420</v>
      </c>
      <c r="BI195" s="6" t="s">
        <v>604</v>
      </c>
      <c r="BK195" s="6" t="s">
        <v>868</v>
      </c>
    </row>
    <row r="196" spans="16:63">
      <c r="P196" t="s">
        <v>421</v>
      </c>
      <c r="BI196" s="6" t="s">
        <v>605</v>
      </c>
      <c r="BK196" s="6" t="s">
        <v>869</v>
      </c>
    </row>
    <row r="197" spans="16:63">
      <c r="P197" t="s">
        <v>422</v>
      </c>
      <c r="BI197" s="6" t="s">
        <v>606</v>
      </c>
      <c r="BK197" s="6" t="s">
        <v>870</v>
      </c>
    </row>
    <row r="198" spans="16:63">
      <c r="P198" t="s">
        <v>423</v>
      </c>
      <c r="BI198" s="6" t="s">
        <v>607</v>
      </c>
      <c r="BK198" s="6" t="s">
        <v>871</v>
      </c>
    </row>
    <row r="199" spans="16:63">
      <c r="P199" s="2" t="s">
        <v>197</v>
      </c>
      <c r="BI199" s="6" t="s">
        <v>608</v>
      </c>
      <c r="BK199" s="6" t="s">
        <v>872</v>
      </c>
    </row>
    <row r="200" spans="16:63">
      <c r="P200" t="s">
        <v>425</v>
      </c>
      <c r="BI200" s="6" t="s">
        <v>609</v>
      </c>
      <c r="BK200" s="6" t="s">
        <v>873</v>
      </c>
    </row>
    <row r="201" spans="16:63">
      <c r="P201" t="s">
        <v>426</v>
      </c>
      <c r="BI201" s="6" t="s">
        <v>610</v>
      </c>
      <c r="BK201" s="6" t="s">
        <v>874</v>
      </c>
    </row>
    <row r="202" spans="16:63">
      <c r="P202" t="s">
        <v>427</v>
      </c>
      <c r="BI202" s="6" t="s">
        <v>611</v>
      </c>
      <c r="BK202" s="6" t="s">
        <v>880</v>
      </c>
    </row>
    <row r="203" spans="16:63">
      <c r="P203" t="s">
        <v>428</v>
      </c>
      <c r="BI203" s="6" t="s">
        <v>612</v>
      </c>
      <c r="BK203" s="6" t="s">
        <v>875</v>
      </c>
    </row>
    <row r="204" spans="16:63">
      <c r="P204" t="s">
        <v>429</v>
      </c>
      <c r="BI204" s="6" t="s">
        <v>613</v>
      </c>
      <c r="BK204" s="6" t="s">
        <v>876</v>
      </c>
    </row>
    <row r="205" spans="16:63">
      <c r="P205" t="s">
        <v>430</v>
      </c>
      <c r="BI205" s="6" t="s">
        <v>614</v>
      </c>
      <c r="BK205" s="6" t="s">
        <v>877</v>
      </c>
    </row>
    <row r="206" spans="16:63">
      <c r="P206" t="s">
        <v>431</v>
      </c>
      <c r="BI206" s="6" t="s">
        <v>615</v>
      </c>
      <c r="BK206" s="6" t="s">
        <v>878</v>
      </c>
    </row>
    <row r="207" spans="16:63">
      <c r="P207" t="s">
        <v>432</v>
      </c>
      <c r="BI207" s="6" t="s">
        <v>616</v>
      </c>
      <c r="BK207" s="6" t="s">
        <v>879</v>
      </c>
    </row>
    <row r="208" spans="16:63">
      <c r="P208" t="s">
        <v>433</v>
      </c>
      <c r="BI208" s="6" t="s">
        <v>617</v>
      </c>
      <c r="BK208" s="6" t="s">
        <v>881</v>
      </c>
    </row>
    <row r="209" spans="16:63">
      <c r="P209" t="s">
        <v>434</v>
      </c>
      <c r="BI209" s="6" t="s">
        <v>618</v>
      </c>
      <c r="BK209" s="6" t="s">
        <v>882</v>
      </c>
    </row>
    <row r="210" spans="16:63">
      <c r="P210" t="s">
        <v>435</v>
      </c>
      <c r="BI210" s="6" t="s">
        <v>619</v>
      </c>
      <c r="BK210" s="6" t="s">
        <v>98</v>
      </c>
    </row>
    <row r="211" spans="16:63">
      <c r="P211" t="s">
        <v>436</v>
      </c>
      <c r="BI211" s="6" t="s">
        <v>620</v>
      </c>
      <c r="BK211" s="6" t="s">
        <v>883</v>
      </c>
    </row>
    <row r="212" spans="16:63">
      <c r="P212" t="s">
        <v>437</v>
      </c>
      <c r="BI212" s="6" t="s">
        <v>621</v>
      </c>
      <c r="BK212" s="6" t="s">
        <v>883</v>
      </c>
    </row>
    <row r="213" spans="16:63">
      <c r="P213" t="s">
        <v>438</v>
      </c>
      <c r="BI213" s="6" t="s">
        <v>622</v>
      </c>
      <c r="BK213" s="6" t="s">
        <v>884</v>
      </c>
    </row>
    <row r="214" spans="16:63">
      <c r="P214" t="s">
        <v>439</v>
      </c>
      <c r="BI214" s="6" t="s">
        <v>623</v>
      </c>
      <c r="BK214" s="6" t="s">
        <v>885</v>
      </c>
    </row>
    <row r="215" spans="16:63">
      <c r="P215" s="2" t="s">
        <v>201</v>
      </c>
      <c r="BI215" s="6" t="s">
        <v>624</v>
      </c>
      <c r="BK215" s="6" t="s">
        <v>886</v>
      </c>
    </row>
    <row r="216" spans="16:63">
      <c r="P216" t="s">
        <v>440</v>
      </c>
      <c r="BI216" s="6" t="s">
        <v>625</v>
      </c>
      <c r="BK216" s="6" t="s">
        <v>887</v>
      </c>
    </row>
    <row r="217" spans="16:63">
      <c r="P217" t="s">
        <v>441</v>
      </c>
      <c r="BI217" s="6" t="s">
        <v>626</v>
      </c>
      <c r="BK217" s="6" t="s">
        <v>888</v>
      </c>
    </row>
    <row r="218" spans="16:63">
      <c r="P218" t="s">
        <v>442</v>
      </c>
      <c r="BI218" s="6" t="s">
        <v>627</v>
      </c>
      <c r="BK218" s="6" t="s">
        <v>889</v>
      </c>
    </row>
    <row r="219" spans="16:63">
      <c r="P219" t="s">
        <v>443</v>
      </c>
      <c r="BI219" s="6" t="s">
        <v>628</v>
      </c>
      <c r="BK219" s="6" t="s">
        <v>890</v>
      </c>
    </row>
    <row r="220" spans="16:63">
      <c r="P220" t="s">
        <v>444</v>
      </c>
      <c r="BI220" s="6" t="s">
        <v>629</v>
      </c>
      <c r="BK220" s="6" t="s">
        <v>891</v>
      </c>
    </row>
    <row r="221" spans="16:63">
      <c r="P221" t="s">
        <v>445</v>
      </c>
      <c r="BI221" s="6" t="s">
        <v>630</v>
      </c>
      <c r="BK221" s="6" t="s">
        <v>892</v>
      </c>
    </row>
    <row r="222" spans="16:63">
      <c r="P222" t="s">
        <v>446</v>
      </c>
      <c r="BI222" s="6" t="s">
        <v>631</v>
      </c>
      <c r="BK222" s="6" t="s">
        <v>893</v>
      </c>
    </row>
    <row r="223" spans="16:63">
      <c r="P223" t="s">
        <v>447</v>
      </c>
      <c r="BI223" s="6" t="s">
        <v>632</v>
      </c>
      <c r="BK223" s="6" t="s">
        <v>894</v>
      </c>
    </row>
    <row r="224" spans="16:63">
      <c r="P224" t="s">
        <v>448</v>
      </c>
      <c r="BI224" s="6" t="s">
        <v>633</v>
      </c>
      <c r="BK224" s="6" t="s">
        <v>895</v>
      </c>
    </row>
    <row r="225" spans="16:63">
      <c r="P225" s="2" t="s">
        <v>193</v>
      </c>
      <c r="BI225" s="6" t="s">
        <v>634</v>
      </c>
      <c r="BK225" s="6" t="s">
        <v>895</v>
      </c>
    </row>
    <row r="226" spans="16:63">
      <c r="P226" t="s">
        <v>449</v>
      </c>
      <c r="BI226" s="6" t="s">
        <v>635</v>
      </c>
      <c r="BK226" s="6" t="s">
        <v>896</v>
      </c>
    </row>
    <row r="227" spans="16:63">
      <c r="P227" t="s">
        <v>450</v>
      </c>
      <c r="BI227" s="6" t="s">
        <v>636</v>
      </c>
      <c r="BK227" s="6" t="s">
        <v>897</v>
      </c>
    </row>
    <row r="228" spans="16:63">
      <c r="P228" t="s">
        <v>451</v>
      </c>
      <c r="BI228" s="6" t="s">
        <v>637</v>
      </c>
      <c r="BK228" s="6" t="s">
        <v>839</v>
      </c>
    </row>
    <row r="229" spans="16:63">
      <c r="P229" t="s">
        <v>2636</v>
      </c>
      <c r="BI229" s="6" t="s">
        <v>638</v>
      </c>
      <c r="BK229" s="6" t="s">
        <v>898</v>
      </c>
    </row>
    <row r="230" spans="16:63">
      <c r="P230" t="s">
        <v>2637</v>
      </c>
      <c r="BI230" s="6" t="s">
        <v>639</v>
      </c>
      <c r="BK230" s="6" t="s">
        <v>899</v>
      </c>
    </row>
    <row r="231" spans="16:63">
      <c r="P231" t="s">
        <v>2638</v>
      </c>
      <c r="BI231" s="6" t="s">
        <v>640</v>
      </c>
      <c r="BK231" s="6" t="s">
        <v>900</v>
      </c>
    </row>
    <row r="232" spans="16:63">
      <c r="P232" t="s">
        <v>2639</v>
      </c>
      <c r="BI232" s="6" t="s">
        <v>641</v>
      </c>
      <c r="BK232" s="6" t="s">
        <v>901</v>
      </c>
    </row>
    <row r="233" spans="16:63">
      <c r="P233" t="s">
        <v>2640</v>
      </c>
      <c r="BI233" s="6" t="s">
        <v>642</v>
      </c>
      <c r="BK233" s="6" t="s">
        <v>902</v>
      </c>
    </row>
    <row r="234" spans="16:63">
      <c r="P234" t="s">
        <v>2641</v>
      </c>
      <c r="BI234" s="6" t="s">
        <v>643</v>
      </c>
      <c r="BK234" s="6" t="s">
        <v>903</v>
      </c>
    </row>
    <row r="235" spans="16:63">
      <c r="P235" t="s">
        <v>452</v>
      </c>
      <c r="BI235" s="6" t="s">
        <v>644</v>
      </c>
      <c r="BK235" s="6" t="s">
        <v>904</v>
      </c>
    </row>
    <row r="236" spans="16:63">
      <c r="P236" t="s">
        <v>2642</v>
      </c>
      <c r="BI236" s="6" t="s">
        <v>645</v>
      </c>
      <c r="BK236" s="6" t="s">
        <v>905</v>
      </c>
    </row>
    <row r="237" spans="16:63">
      <c r="P237" t="s">
        <v>453</v>
      </c>
      <c r="BI237" s="6" t="s">
        <v>646</v>
      </c>
      <c r="BK237" s="6" t="s">
        <v>906</v>
      </c>
    </row>
    <row r="238" spans="16:63">
      <c r="P238" t="s">
        <v>454</v>
      </c>
      <c r="BI238" s="6" t="s">
        <v>647</v>
      </c>
      <c r="BK238" s="6" t="s">
        <v>907</v>
      </c>
    </row>
    <row r="239" spans="16:63">
      <c r="P239" t="s">
        <v>455</v>
      </c>
      <c r="BI239" s="6" t="s">
        <v>648</v>
      </c>
      <c r="BK239" s="6" t="s">
        <v>908</v>
      </c>
    </row>
    <row r="240" spans="16:63">
      <c r="P240" t="s">
        <v>456</v>
      </c>
      <c r="BI240" s="6" t="s">
        <v>649</v>
      </c>
      <c r="BK240" s="6" t="s">
        <v>909</v>
      </c>
    </row>
    <row r="241" spans="16:63">
      <c r="P241" t="s">
        <v>457</v>
      </c>
      <c r="BI241" s="6" t="s">
        <v>650</v>
      </c>
      <c r="BK241" s="6" t="s">
        <v>910</v>
      </c>
    </row>
    <row r="242" spans="16:63">
      <c r="P242" t="s">
        <v>458</v>
      </c>
      <c r="BI242" s="6" t="s">
        <v>651</v>
      </c>
      <c r="BK242" s="6" t="s">
        <v>911</v>
      </c>
    </row>
    <row r="243" spans="16:63">
      <c r="P243" t="s">
        <v>459</v>
      </c>
      <c r="BI243" s="6" t="s">
        <v>652</v>
      </c>
      <c r="BK243" s="6" t="s">
        <v>912</v>
      </c>
    </row>
    <row r="244" spans="16:63">
      <c r="P244" t="s">
        <v>2643</v>
      </c>
      <c r="BI244" s="6" t="s">
        <v>653</v>
      </c>
      <c r="BK244" s="6" t="s">
        <v>913</v>
      </c>
    </row>
    <row r="245" spans="16:63">
      <c r="P245" t="s">
        <v>460</v>
      </c>
      <c r="BI245" s="6" t="s">
        <v>654</v>
      </c>
      <c r="BK245" s="6" t="s">
        <v>914</v>
      </c>
    </row>
    <row r="246" spans="16:63">
      <c r="P246" t="s">
        <v>2644</v>
      </c>
      <c r="BI246" s="6" t="s">
        <v>655</v>
      </c>
      <c r="BK246" s="6" t="s">
        <v>915</v>
      </c>
    </row>
    <row r="247" spans="16:63">
      <c r="P247" s="2" t="s">
        <v>203</v>
      </c>
      <c r="BI247" s="6" t="s">
        <v>656</v>
      </c>
      <c r="BK247" s="6" t="s">
        <v>916</v>
      </c>
    </row>
    <row r="248" spans="16:63">
      <c r="P248" t="s">
        <v>2645</v>
      </c>
      <c r="BI248" s="6" t="s">
        <v>657</v>
      </c>
      <c r="BK248" s="6" t="s">
        <v>917</v>
      </c>
    </row>
    <row r="249" spans="16:63">
      <c r="P249" t="s">
        <v>461</v>
      </c>
      <c r="BI249" s="6" t="s">
        <v>658</v>
      </c>
      <c r="BK249" s="6" t="s">
        <v>918</v>
      </c>
    </row>
    <row r="250" spans="16:63">
      <c r="P250" t="s">
        <v>462</v>
      </c>
      <c r="BI250" s="6" t="s">
        <v>659</v>
      </c>
      <c r="BK250" s="6" t="s">
        <v>919</v>
      </c>
    </row>
    <row r="251" spans="16:63">
      <c r="P251" t="s">
        <v>463</v>
      </c>
      <c r="BI251" s="6" t="s">
        <v>660</v>
      </c>
      <c r="BK251" s="6" t="s">
        <v>920</v>
      </c>
    </row>
    <row r="252" spans="16:63">
      <c r="P252" t="s">
        <v>464</v>
      </c>
      <c r="BI252" s="6" t="s">
        <v>661</v>
      </c>
      <c r="BK252" s="6" t="s">
        <v>921</v>
      </c>
    </row>
    <row r="253" spans="16:63">
      <c r="P253" t="s">
        <v>465</v>
      </c>
      <c r="BI253" s="6" t="s">
        <v>662</v>
      </c>
      <c r="BK253" s="6" t="s">
        <v>922</v>
      </c>
    </row>
    <row r="254" spans="16:63">
      <c r="P254" t="s">
        <v>2646</v>
      </c>
      <c r="BI254" s="6" t="s">
        <v>663</v>
      </c>
      <c r="BK254" s="6" t="s">
        <v>923</v>
      </c>
    </row>
    <row r="255" spans="16:63">
      <c r="P255" t="s">
        <v>484</v>
      </c>
      <c r="BI255" s="6" t="s">
        <v>664</v>
      </c>
      <c r="BK255" s="6" t="s">
        <v>924</v>
      </c>
    </row>
    <row r="256" spans="16:63">
      <c r="P256" t="s">
        <v>2647</v>
      </c>
      <c r="BI256" s="6" t="s">
        <v>665</v>
      </c>
      <c r="BK256" s="6" t="s">
        <v>925</v>
      </c>
    </row>
    <row r="257" spans="16:63">
      <c r="P257" t="s">
        <v>487</v>
      </c>
      <c r="BI257" s="6" t="s">
        <v>666</v>
      </c>
      <c r="BK257" s="6" t="s">
        <v>926</v>
      </c>
    </row>
    <row r="258" spans="16:63">
      <c r="P258" s="2" t="s">
        <v>191</v>
      </c>
      <c r="BI258" s="6" t="s">
        <v>667</v>
      </c>
      <c r="BK258" s="6" t="s">
        <v>927</v>
      </c>
    </row>
    <row r="259" spans="16:63">
      <c r="P259" t="s">
        <v>2648</v>
      </c>
      <c r="BI259" s="6" t="s">
        <v>668</v>
      </c>
      <c r="BK259" s="6" t="s">
        <v>928</v>
      </c>
    </row>
    <row r="260" spans="16:63">
      <c r="P260" t="s">
        <v>2649</v>
      </c>
      <c r="BI260" s="6" t="s">
        <v>669</v>
      </c>
      <c r="BK260" s="6" t="s">
        <v>929</v>
      </c>
    </row>
    <row r="261" spans="16:63">
      <c r="P261" t="s">
        <v>466</v>
      </c>
      <c r="BI261" s="6" t="s">
        <v>670</v>
      </c>
      <c r="BK261" s="6" t="s">
        <v>930</v>
      </c>
    </row>
    <row r="262" spans="16:63">
      <c r="P262" t="s">
        <v>467</v>
      </c>
      <c r="BI262" s="6" t="s">
        <v>671</v>
      </c>
      <c r="BK262" s="6" t="s">
        <v>931</v>
      </c>
    </row>
    <row r="263" spans="16:63">
      <c r="P263" t="s">
        <v>468</v>
      </c>
      <c r="BI263" s="6" t="s">
        <v>118</v>
      </c>
      <c r="BK263" s="6" t="s">
        <v>932</v>
      </c>
    </row>
    <row r="264" spans="16:63">
      <c r="P264" t="s">
        <v>469</v>
      </c>
      <c r="BK264" s="6" t="s">
        <v>933</v>
      </c>
    </row>
    <row r="265" spans="16:63">
      <c r="P265" t="s">
        <v>470</v>
      </c>
      <c r="BK265" s="6" t="s">
        <v>935</v>
      </c>
    </row>
    <row r="266" spans="16:63">
      <c r="P266" t="s">
        <v>471</v>
      </c>
      <c r="BK266" s="6" t="s">
        <v>936</v>
      </c>
    </row>
    <row r="267" spans="16:63">
      <c r="P267" t="s">
        <v>472</v>
      </c>
      <c r="BK267" s="6" t="s">
        <v>937</v>
      </c>
    </row>
    <row r="268" spans="16:63">
      <c r="P268" t="s">
        <v>473</v>
      </c>
      <c r="BK268" s="6" t="s">
        <v>938</v>
      </c>
    </row>
    <row r="269" spans="16:63">
      <c r="P269" t="s">
        <v>474</v>
      </c>
      <c r="BK269" s="6" t="s">
        <v>939</v>
      </c>
    </row>
    <row r="270" spans="16:63">
      <c r="P270" t="s">
        <v>475</v>
      </c>
      <c r="BK270" s="6" t="s">
        <v>940</v>
      </c>
    </row>
    <row r="271" spans="16:63">
      <c r="P271" t="s">
        <v>2650</v>
      </c>
      <c r="BK271" s="6" t="s">
        <v>941</v>
      </c>
    </row>
    <row r="272" spans="16:63">
      <c r="P272" t="s">
        <v>476</v>
      </c>
      <c r="BK272" s="6" t="s">
        <v>942</v>
      </c>
    </row>
    <row r="273" spans="16:63">
      <c r="P273" t="s">
        <v>2651</v>
      </c>
      <c r="BK273" s="6" t="s">
        <v>943</v>
      </c>
    </row>
    <row r="274" spans="16:63">
      <c r="P274" t="s">
        <v>2652</v>
      </c>
      <c r="BK274" s="6" t="s">
        <v>944</v>
      </c>
    </row>
    <row r="275" spans="16:63">
      <c r="P275" t="s">
        <v>477</v>
      </c>
      <c r="BK275" s="6" t="s">
        <v>945</v>
      </c>
    </row>
    <row r="276" spans="16:63">
      <c r="P276" t="s">
        <v>478</v>
      </c>
      <c r="BK276" s="6" t="s">
        <v>946</v>
      </c>
    </row>
    <row r="277" spans="16:63">
      <c r="P277" t="s">
        <v>192</v>
      </c>
      <c r="BK277" s="6" t="s">
        <v>947</v>
      </c>
    </row>
    <row r="278" spans="16:63">
      <c r="P278" t="s">
        <v>479</v>
      </c>
      <c r="BK278" s="6" t="s">
        <v>948</v>
      </c>
    </row>
    <row r="279" spans="16:63">
      <c r="P279" s="2" t="s">
        <v>195</v>
      </c>
      <c r="BK279" s="6" t="s">
        <v>949</v>
      </c>
    </row>
    <row r="280" spans="16:63">
      <c r="P280" t="s">
        <v>480</v>
      </c>
      <c r="BK280" s="6" t="s">
        <v>950</v>
      </c>
    </row>
    <row r="281" spans="16:63">
      <c r="P281" t="s">
        <v>481</v>
      </c>
      <c r="BK281" s="6" t="s">
        <v>951</v>
      </c>
    </row>
    <row r="282" spans="16:63">
      <c r="P282" t="s">
        <v>482</v>
      </c>
      <c r="BK282" s="6" t="s">
        <v>952</v>
      </c>
    </row>
    <row r="283" spans="16:63">
      <c r="P283" t="s">
        <v>483</v>
      </c>
      <c r="BK283" s="6" t="s">
        <v>953</v>
      </c>
    </row>
    <row r="284" spans="16:63">
      <c r="P284" t="s">
        <v>464</v>
      </c>
      <c r="BK284" s="6" t="s">
        <v>954</v>
      </c>
    </row>
    <row r="285" spans="16:63">
      <c r="P285" t="s">
        <v>465</v>
      </c>
      <c r="BK285" s="6" t="s">
        <v>955</v>
      </c>
    </row>
    <row r="286" spans="16:63">
      <c r="P286" t="s">
        <v>2646</v>
      </c>
      <c r="BK286" s="6" t="s">
        <v>956</v>
      </c>
    </row>
    <row r="287" spans="16:63">
      <c r="P287" t="s">
        <v>484</v>
      </c>
      <c r="BK287" s="6" t="s">
        <v>957</v>
      </c>
    </row>
    <row r="288" spans="16:63">
      <c r="P288" t="s">
        <v>485</v>
      </c>
      <c r="BK288" s="6" t="s">
        <v>958</v>
      </c>
    </row>
    <row r="289" spans="16:63">
      <c r="P289" t="s">
        <v>486</v>
      </c>
      <c r="BK289" s="6" t="s">
        <v>959</v>
      </c>
    </row>
    <row r="290" spans="16:63">
      <c r="P290" t="s">
        <v>487</v>
      </c>
      <c r="BK290" s="6" t="s">
        <v>960</v>
      </c>
    </row>
    <row r="291" spans="16:63">
      <c r="P291" t="s">
        <v>488</v>
      </c>
      <c r="BK291" s="6" t="s">
        <v>961</v>
      </c>
    </row>
    <row r="292" spans="16:63">
      <c r="P292" s="2" t="s">
        <v>192</v>
      </c>
      <c r="BK292" s="6" t="s">
        <v>962</v>
      </c>
    </row>
    <row r="293" spans="16:63">
      <c r="P293" t="s">
        <v>489</v>
      </c>
      <c r="BK293" s="6" t="s">
        <v>963</v>
      </c>
    </row>
    <row r="294" spans="16:63">
      <c r="P294" t="s">
        <v>2653</v>
      </c>
      <c r="BK294" s="6" t="s">
        <v>964</v>
      </c>
    </row>
    <row r="295" spans="16:63">
      <c r="P295" t="s">
        <v>490</v>
      </c>
      <c r="BK295" s="6" t="s">
        <v>965</v>
      </c>
    </row>
    <row r="296" spans="16:63">
      <c r="P296" t="s">
        <v>2654</v>
      </c>
      <c r="BK296" s="6" t="s">
        <v>966</v>
      </c>
    </row>
    <row r="297" spans="16:63">
      <c r="P297" t="s">
        <v>2655</v>
      </c>
      <c r="BK297" s="6" t="s">
        <v>967</v>
      </c>
    </row>
    <row r="298" spans="16:63">
      <c r="P298" t="s">
        <v>491</v>
      </c>
      <c r="BK298" s="6" t="s">
        <v>968</v>
      </c>
    </row>
    <row r="299" spans="16:63">
      <c r="BK299" s="6" t="s">
        <v>969</v>
      </c>
    </row>
    <row r="300" spans="16:63">
      <c r="BK300" s="6" t="s">
        <v>970</v>
      </c>
    </row>
    <row r="301" spans="16:63">
      <c r="BK301" s="6" t="s">
        <v>971</v>
      </c>
    </row>
    <row r="302" spans="16:63">
      <c r="BK302" s="6" t="s">
        <v>972</v>
      </c>
    </row>
    <row r="303" spans="16:63">
      <c r="BK303" s="6" t="s">
        <v>973</v>
      </c>
    </row>
    <row r="304" spans="16:63">
      <c r="BK304" s="6" t="s">
        <v>974</v>
      </c>
    </row>
    <row r="305" spans="63:63">
      <c r="BK305" s="6" t="s">
        <v>975</v>
      </c>
    </row>
    <row r="306" spans="63:63">
      <c r="BK306" s="6" t="s">
        <v>976</v>
      </c>
    </row>
    <row r="307" spans="63:63">
      <c r="BK307" s="6" t="s">
        <v>977</v>
      </c>
    </row>
    <row r="308" spans="63:63">
      <c r="BK308" s="6" t="s">
        <v>978</v>
      </c>
    </row>
    <row r="309" spans="63:63">
      <c r="BK309" s="6" t="s">
        <v>979</v>
      </c>
    </row>
    <row r="310" spans="63:63">
      <c r="BK310" s="6" t="s">
        <v>980</v>
      </c>
    </row>
    <row r="311" spans="63:63">
      <c r="BK311" s="6" t="s">
        <v>981</v>
      </c>
    </row>
    <row r="312" spans="63:63">
      <c r="BK312" s="6" t="s">
        <v>982</v>
      </c>
    </row>
    <row r="313" spans="63:63">
      <c r="BK313" s="6" t="s">
        <v>983</v>
      </c>
    </row>
    <row r="314" spans="63:63">
      <c r="BK314" s="6" t="s">
        <v>984</v>
      </c>
    </row>
    <row r="315" spans="63:63">
      <c r="BK315" s="6" t="s">
        <v>985</v>
      </c>
    </row>
    <row r="316" spans="63:63">
      <c r="BK316" s="6" t="s">
        <v>986</v>
      </c>
    </row>
    <row r="317" spans="63:63">
      <c r="BK317" s="6" t="s">
        <v>987</v>
      </c>
    </row>
    <row r="318" spans="63:63">
      <c r="BK318" s="6" t="s">
        <v>988</v>
      </c>
    </row>
    <row r="319" spans="63:63">
      <c r="BK319" s="6" t="s">
        <v>989</v>
      </c>
    </row>
    <row r="320" spans="63:63">
      <c r="BK320" s="6" t="s">
        <v>990</v>
      </c>
    </row>
    <row r="321" spans="63:63">
      <c r="BK321" s="6" t="s">
        <v>991</v>
      </c>
    </row>
    <row r="322" spans="63:63">
      <c r="BK322" s="6" t="s">
        <v>992</v>
      </c>
    </row>
    <row r="323" spans="63:63">
      <c r="BK323" s="6" t="s">
        <v>993</v>
      </c>
    </row>
    <row r="324" spans="63:63">
      <c r="BK324" s="6" t="s">
        <v>994</v>
      </c>
    </row>
    <row r="325" spans="63:63">
      <c r="BK325" s="6" t="s">
        <v>995</v>
      </c>
    </row>
    <row r="326" spans="63:63">
      <c r="BK326" s="6" t="s">
        <v>996</v>
      </c>
    </row>
    <row r="327" spans="63:63">
      <c r="BK327" s="6" t="s">
        <v>997</v>
      </c>
    </row>
    <row r="328" spans="63:63">
      <c r="BK328" s="6" t="s">
        <v>998</v>
      </c>
    </row>
    <row r="329" spans="63:63">
      <c r="BK329" s="6" t="s">
        <v>999</v>
      </c>
    </row>
    <row r="330" spans="63:63">
      <c r="BK330" s="6" t="s">
        <v>1000</v>
      </c>
    </row>
    <row r="331" spans="63:63">
      <c r="BK331" s="6" t="s">
        <v>1001</v>
      </c>
    </row>
    <row r="332" spans="63:63">
      <c r="BK332" s="6" t="s">
        <v>1002</v>
      </c>
    </row>
    <row r="333" spans="63:63">
      <c r="BK333" s="6" t="s">
        <v>1003</v>
      </c>
    </row>
    <row r="334" spans="63:63">
      <c r="BK334" s="6" t="s">
        <v>1004</v>
      </c>
    </row>
    <row r="335" spans="63:63">
      <c r="BK335" s="6" t="s">
        <v>1005</v>
      </c>
    </row>
    <row r="336" spans="63:63">
      <c r="BK336" s="6" t="s">
        <v>1006</v>
      </c>
    </row>
    <row r="337" spans="63:63">
      <c r="BK337" s="6" t="s">
        <v>1007</v>
      </c>
    </row>
    <row r="338" spans="63:63">
      <c r="BK338" s="6" t="s">
        <v>1008</v>
      </c>
    </row>
    <row r="339" spans="63:63">
      <c r="BK339" s="6" t="s">
        <v>1009</v>
      </c>
    </row>
    <row r="340" spans="63:63">
      <c r="BK340" s="6" t="s">
        <v>1010</v>
      </c>
    </row>
    <row r="341" spans="63:63">
      <c r="BK341" s="6" t="s">
        <v>1012</v>
      </c>
    </row>
    <row r="342" spans="63:63">
      <c r="BK342" s="6" t="s">
        <v>1013</v>
      </c>
    </row>
    <row r="343" spans="63:63">
      <c r="BK343" s="6" t="s">
        <v>1014</v>
      </c>
    </row>
    <row r="344" spans="63:63">
      <c r="BK344" s="6" t="s">
        <v>1015</v>
      </c>
    </row>
    <row r="345" spans="63:63">
      <c r="BK345" s="6" t="s">
        <v>1016</v>
      </c>
    </row>
    <row r="346" spans="63:63">
      <c r="BK346" s="6" t="s">
        <v>1017</v>
      </c>
    </row>
    <row r="347" spans="63:63">
      <c r="BK347" s="6" t="s">
        <v>1018</v>
      </c>
    </row>
    <row r="348" spans="63:63">
      <c r="BK348" s="6" t="s">
        <v>1019</v>
      </c>
    </row>
    <row r="349" spans="63:63">
      <c r="BK349" s="6" t="s">
        <v>1020</v>
      </c>
    </row>
    <row r="350" spans="63:63">
      <c r="BK350" s="6" t="s">
        <v>1021</v>
      </c>
    </row>
    <row r="351" spans="63:63">
      <c r="BK351" s="6" t="s">
        <v>1022</v>
      </c>
    </row>
    <row r="352" spans="63:63">
      <c r="BK352" s="6" t="s">
        <v>1023</v>
      </c>
    </row>
    <row r="353" spans="63:63">
      <c r="BK353" s="6" t="s">
        <v>1024</v>
      </c>
    </row>
    <row r="354" spans="63:63">
      <c r="BK354" s="6" t="s">
        <v>1025</v>
      </c>
    </row>
    <row r="355" spans="63:63">
      <c r="BK355" s="6" t="s">
        <v>1026</v>
      </c>
    </row>
    <row r="356" spans="63:63">
      <c r="BK356" s="6" t="s">
        <v>1027</v>
      </c>
    </row>
    <row r="357" spans="63:63">
      <c r="BK357" s="6" t="s">
        <v>1028</v>
      </c>
    </row>
    <row r="358" spans="63:63">
      <c r="BK358" s="6" t="s">
        <v>1029</v>
      </c>
    </row>
    <row r="359" spans="63:63">
      <c r="BK359" s="6" t="s">
        <v>1030</v>
      </c>
    </row>
    <row r="360" spans="63:63">
      <c r="BK360" s="6" t="s">
        <v>1031</v>
      </c>
    </row>
    <row r="361" spans="63:63">
      <c r="BK361" s="6" t="s">
        <v>1032</v>
      </c>
    </row>
    <row r="362" spans="63:63">
      <c r="BK362" s="6" t="s">
        <v>1033</v>
      </c>
    </row>
    <row r="363" spans="63:63">
      <c r="BK363" s="6" t="s">
        <v>1034</v>
      </c>
    </row>
    <row r="364" spans="63:63">
      <c r="BK364" s="6" t="s">
        <v>1035</v>
      </c>
    </row>
    <row r="365" spans="63:63">
      <c r="BK365" s="6" t="s">
        <v>1036</v>
      </c>
    </row>
    <row r="366" spans="63:63">
      <c r="BK366" s="6" t="s">
        <v>1037</v>
      </c>
    </row>
    <row r="367" spans="63:63">
      <c r="BK367" s="6" t="s">
        <v>1038</v>
      </c>
    </row>
    <row r="368" spans="63:63">
      <c r="BK368" s="6" t="s">
        <v>1011</v>
      </c>
    </row>
    <row r="369" spans="63:63">
      <c r="BK369" s="6" t="s">
        <v>1039</v>
      </c>
    </row>
    <row r="370" spans="63:63">
      <c r="BK370" s="6" t="s">
        <v>1040</v>
      </c>
    </row>
    <row r="371" spans="63:63">
      <c r="BK371" s="6" t="s">
        <v>1041</v>
      </c>
    </row>
    <row r="372" spans="63:63">
      <c r="BK372" s="6" t="s">
        <v>1042</v>
      </c>
    </row>
    <row r="373" spans="63:63">
      <c r="BK373" s="6" t="s">
        <v>1043</v>
      </c>
    </row>
    <row r="374" spans="63:63">
      <c r="BK374" s="6" t="s">
        <v>1044</v>
      </c>
    </row>
    <row r="375" spans="63:63">
      <c r="BK375" s="6" t="s">
        <v>1045</v>
      </c>
    </row>
    <row r="376" spans="63:63">
      <c r="BK376" s="6" t="s">
        <v>1046</v>
      </c>
    </row>
    <row r="377" spans="63:63">
      <c r="BK377" s="6" t="s">
        <v>1047</v>
      </c>
    </row>
    <row r="378" spans="63:63">
      <c r="BK378" s="6" t="s">
        <v>1048</v>
      </c>
    </row>
    <row r="379" spans="63:63">
      <c r="BK379" s="6" t="s">
        <v>1049</v>
      </c>
    </row>
    <row r="380" spans="63:63">
      <c r="BK380" s="6" t="s">
        <v>1050</v>
      </c>
    </row>
    <row r="381" spans="63:63">
      <c r="BK381" s="6" t="s">
        <v>1051</v>
      </c>
    </row>
    <row r="382" spans="63:63">
      <c r="BK382" s="6" t="s">
        <v>1052</v>
      </c>
    </row>
    <row r="383" spans="63:63">
      <c r="BK383" s="6" t="s">
        <v>1053</v>
      </c>
    </row>
    <row r="384" spans="63:63">
      <c r="BK384" s="6" t="s">
        <v>1054</v>
      </c>
    </row>
    <row r="385" spans="63:63">
      <c r="BK385" s="6" t="s">
        <v>1055</v>
      </c>
    </row>
    <row r="386" spans="63:63">
      <c r="BK386" s="6" t="s">
        <v>1056</v>
      </c>
    </row>
    <row r="387" spans="63:63">
      <c r="BK387" s="6" t="s">
        <v>1057</v>
      </c>
    </row>
    <row r="388" spans="63:63">
      <c r="BK388" s="6" t="s">
        <v>1058</v>
      </c>
    </row>
    <row r="389" spans="63:63">
      <c r="BK389" s="6" t="s">
        <v>1059</v>
      </c>
    </row>
    <row r="390" spans="63:63">
      <c r="BK390" s="6" t="s">
        <v>1060</v>
      </c>
    </row>
    <row r="391" spans="63:63">
      <c r="BK391" s="6" t="s">
        <v>1061</v>
      </c>
    </row>
    <row r="392" spans="63:63">
      <c r="BK392" s="6" t="s">
        <v>1062</v>
      </c>
    </row>
    <row r="393" spans="63:63">
      <c r="BK393" s="6" t="s">
        <v>1063</v>
      </c>
    </row>
    <row r="394" spans="63:63">
      <c r="BK394" s="6" t="s">
        <v>1064</v>
      </c>
    </row>
    <row r="395" spans="63:63">
      <c r="BK395" s="6" t="s">
        <v>1065</v>
      </c>
    </row>
    <row r="396" spans="63:63">
      <c r="BK396" s="6" t="s">
        <v>1066</v>
      </c>
    </row>
    <row r="397" spans="63:63">
      <c r="BK397" s="6" t="s">
        <v>1067</v>
      </c>
    </row>
    <row r="398" spans="63:63">
      <c r="BK398" s="6" t="s">
        <v>1068</v>
      </c>
    </row>
    <row r="399" spans="63:63">
      <c r="BK399" s="6" t="s">
        <v>1069</v>
      </c>
    </row>
    <row r="400" spans="63:63">
      <c r="BK400" s="6" t="s">
        <v>1070</v>
      </c>
    </row>
    <row r="401" spans="63:63">
      <c r="BK401" s="6" t="s">
        <v>1071</v>
      </c>
    </row>
    <row r="402" spans="63:63">
      <c r="BK402" s="6" t="s">
        <v>1072</v>
      </c>
    </row>
    <row r="403" spans="63:63">
      <c r="BK403" s="6" t="s">
        <v>1073</v>
      </c>
    </row>
    <row r="404" spans="63:63">
      <c r="BK404" s="6" t="s">
        <v>1074</v>
      </c>
    </row>
    <row r="405" spans="63:63">
      <c r="BK405" s="6" t="s">
        <v>1075</v>
      </c>
    </row>
    <row r="406" spans="63:63">
      <c r="BK406" s="6" t="s">
        <v>1076</v>
      </c>
    </row>
    <row r="407" spans="63:63">
      <c r="BK407" s="6" t="s">
        <v>1077</v>
      </c>
    </row>
    <row r="408" spans="63:63">
      <c r="BK408" s="6" t="s">
        <v>1078</v>
      </c>
    </row>
    <row r="409" spans="63:63">
      <c r="BK409" s="6" t="s">
        <v>1079</v>
      </c>
    </row>
    <row r="410" spans="63:63">
      <c r="BK410" s="6" t="s">
        <v>1080</v>
      </c>
    </row>
    <row r="411" spans="63:63">
      <c r="BK411" s="6" t="s">
        <v>1081</v>
      </c>
    </row>
    <row r="412" spans="63:63">
      <c r="BK412" s="6" t="s">
        <v>1082</v>
      </c>
    </row>
    <row r="413" spans="63:63">
      <c r="BK413" s="6" t="s">
        <v>1083</v>
      </c>
    </row>
    <row r="414" spans="63:63">
      <c r="BK414" s="6" t="s">
        <v>1084</v>
      </c>
    </row>
    <row r="415" spans="63:63">
      <c r="BK415" s="6" t="s">
        <v>1085</v>
      </c>
    </row>
    <row r="416" spans="63:63">
      <c r="BK416" s="6" t="s">
        <v>1086</v>
      </c>
    </row>
    <row r="417" spans="63:63">
      <c r="BK417" s="6" t="s">
        <v>1087</v>
      </c>
    </row>
    <row r="418" spans="63:63">
      <c r="BK418" s="6" t="s">
        <v>1088</v>
      </c>
    </row>
    <row r="419" spans="63:63">
      <c r="BK419" s="6" t="s">
        <v>1089</v>
      </c>
    </row>
    <row r="420" spans="63:63">
      <c r="BK420" s="6" t="s">
        <v>1090</v>
      </c>
    </row>
    <row r="421" spans="63:63">
      <c r="BK421" s="6" t="s">
        <v>1091</v>
      </c>
    </row>
    <row r="422" spans="63:63">
      <c r="BK422" s="6" t="s">
        <v>1092</v>
      </c>
    </row>
    <row r="423" spans="63:63">
      <c r="BK423" s="6" t="s">
        <v>1093</v>
      </c>
    </row>
    <row r="424" spans="63:63">
      <c r="BK424" s="6" t="s">
        <v>1094</v>
      </c>
    </row>
    <row r="425" spans="63:63">
      <c r="BK425" s="6" t="s">
        <v>1095</v>
      </c>
    </row>
    <row r="426" spans="63:63">
      <c r="BK426" s="6" t="s">
        <v>1096</v>
      </c>
    </row>
    <row r="427" spans="63:63">
      <c r="BK427" s="6" t="s">
        <v>1097</v>
      </c>
    </row>
    <row r="428" spans="63:63">
      <c r="BK428" s="6" t="s">
        <v>1098</v>
      </c>
    </row>
    <row r="429" spans="63:63">
      <c r="BK429" s="6" t="s">
        <v>1099</v>
      </c>
    </row>
    <row r="430" spans="63:63">
      <c r="BK430" s="6" t="s">
        <v>1100</v>
      </c>
    </row>
    <row r="431" spans="63:63">
      <c r="BK431" s="6" t="s">
        <v>1101</v>
      </c>
    </row>
    <row r="432" spans="63:63">
      <c r="BK432" s="6" t="s">
        <v>1102</v>
      </c>
    </row>
    <row r="433" spans="63:63">
      <c r="BK433" s="6" t="s">
        <v>1103</v>
      </c>
    </row>
    <row r="434" spans="63:63">
      <c r="BK434" s="6" t="s">
        <v>1104</v>
      </c>
    </row>
    <row r="435" spans="63:63">
      <c r="BK435" s="6" t="s">
        <v>1105</v>
      </c>
    </row>
    <row r="436" spans="63:63">
      <c r="BK436" s="6" t="s">
        <v>1106</v>
      </c>
    </row>
    <row r="437" spans="63:63">
      <c r="BK437" s="6" t="s">
        <v>1107</v>
      </c>
    </row>
    <row r="438" spans="63:63">
      <c r="BK438" s="6" t="s">
        <v>1108</v>
      </c>
    </row>
    <row r="439" spans="63:63">
      <c r="BK439" s="6" t="s">
        <v>1109</v>
      </c>
    </row>
    <row r="440" spans="63:63">
      <c r="BK440" s="6" t="s">
        <v>1110</v>
      </c>
    </row>
    <row r="441" spans="63:63">
      <c r="BK441" s="6" t="s">
        <v>1111</v>
      </c>
    </row>
    <row r="442" spans="63:63">
      <c r="BK442" s="6" t="s">
        <v>1112</v>
      </c>
    </row>
    <row r="443" spans="63:63">
      <c r="BK443" s="6" t="s">
        <v>1113</v>
      </c>
    </row>
    <row r="444" spans="63:63">
      <c r="BK444" s="6" t="s">
        <v>1114</v>
      </c>
    </row>
    <row r="445" spans="63:63">
      <c r="BK445" s="6" t="s">
        <v>1115</v>
      </c>
    </row>
    <row r="446" spans="63:63">
      <c r="BK446" s="6" t="s">
        <v>1116</v>
      </c>
    </row>
    <row r="447" spans="63:63">
      <c r="BK447" s="6" t="s">
        <v>1117</v>
      </c>
    </row>
    <row r="448" spans="63:63">
      <c r="BK448" s="6" t="s">
        <v>1118</v>
      </c>
    </row>
    <row r="449" spans="63:63">
      <c r="BK449" s="6" t="s">
        <v>1119</v>
      </c>
    </row>
    <row r="450" spans="63:63">
      <c r="BK450" s="6" t="s">
        <v>1120</v>
      </c>
    </row>
    <row r="451" spans="63:63">
      <c r="BK451" s="6" t="s">
        <v>1121</v>
      </c>
    </row>
    <row r="452" spans="63:63">
      <c r="BK452" s="6" t="s">
        <v>1122</v>
      </c>
    </row>
    <row r="453" spans="63:63">
      <c r="BK453" s="6" t="s">
        <v>1123</v>
      </c>
    </row>
    <row r="454" spans="63:63">
      <c r="BK454" s="6" t="s">
        <v>1124</v>
      </c>
    </row>
    <row r="455" spans="63:63">
      <c r="BK455" s="6" t="s">
        <v>1125</v>
      </c>
    </row>
    <row r="456" spans="63:63">
      <c r="BK456" s="6" t="s">
        <v>1126</v>
      </c>
    </row>
    <row r="457" spans="63:63">
      <c r="BK457" s="6" t="s">
        <v>1127</v>
      </c>
    </row>
    <row r="458" spans="63:63">
      <c r="BK458" s="6" t="s">
        <v>1128</v>
      </c>
    </row>
    <row r="459" spans="63:63">
      <c r="BK459" s="6" t="s">
        <v>1129</v>
      </c>
    </row>
    <row r="460" spans="63:63">
      <c r="BK460" s="6" t="s">
        <v>1130</v>
      </c>
    </row>
    <row r="461" spans="63:63">
      <c r="BK461" s="6" t="s">
        <v>1131</v>
      </c>
    </row>
    <row r="462" spans="63:63">
      <c r="BK462" s="6" t="s">
        <v>1132</v>
      </c>
    </row>
    <row r="463" spans="63:63">
      <c r="BK463" s="6" t="s">
        <v>1133</v>
      </c>
    </row>
    <row r="464" spans="63:63">
      <c r="BK464" s="6" t="s">
        <v>1134</v>
      </c>
    </row>
    <row r="465" spans="63:63">
      <c r="BK465" s="6" t="s">
        <v>1135</v>
      </c>
    </row>
    <row r="466" spans="63:63">
      <c r="BK466" s="6" t="s">
        <v>1136</v>
      </c>
    </row>
    <row r="467" spans="63:63">
      <c r="BK467" s="6" t="s">
        <v>1137</v>
      </c>
    </row>
    <row r="468" spans="63:63">
      <c r="BK468" s="6" t="s">
        <v>1138</v>
      </c>
    </row>
    <row r="469" spans="63:63">
      <c r="BK469" s="6" t="s">
        <v>1139</v>
      </c>
    </row>
    <row r="470" spans="63:63">
      <c r="BK470" s="6" t="s">
        <v>1140</v>
      </c>
    </row>
    <row r="471" spans="63:63">
      <c r="BK471" s="6" t="s">
        <v>1141</v>
      </c>
    </row>
    <row r="472" spans="63:63">
      <c r="BK472" s="6" t="s">
        <v>1142</v>
      </c>
    </row>
    <row r="473" spans="63:63">
      <c r="BK473" s="6" t="s">
        <v>1143</v>
      </c>
    </row>
    <row r="474" spans="63:63">
      <c r="BK474" s="6" t="s">
        <v>1144</v>
      </c>
    </row>
    <row r="475" spans="63:63">
      <c r="BK475" s="6" t="s">
        <v>1145</v>
      </c>
    </row>
    <row r="476" spans="63:63">
      <c r="BK476" s="6" t="s">
        <v>1146</v>
      </c>
    </row>
    <row r="477" spans="63:63">
      <c r="BK477" s="6" t="s">
        <v>1147</v>
      </c>
    </row>
    <row r="478" spans="63:63">
      <c r="BK478" s="6" t="s">
        <v>1148</v>
      </c>
    </row>
    <row r="479" spans="63:63">
      <c r="BK479" s="6" t="s">
        <v>1149</v>
      </c>
    </row>
    <row r="480" spans="63:63">
      <c r="BK480" s="6" t="s">
        <v>1150</v>
      </c>
    </row>
    <row r="481" spans="63:63">
      <c r="BK481" s="6" t="s">
        <v>1151</v>
      </c>
    </row>
    <row r="482" spans="63:63">
      <c r="BK482" s="6" t="s">
        <v>1152</v>
      </c>
    </row>
    <row r="483" spans="63:63">
      <c r="BK483" s="6" t="s">
        <v>1153</v>
      </c>
    </row>
    <row r="484" spans="63:63">
      <c r="BK484" s="6" t="s">
        <v>1154</v>
      </c>
    </row>
    <row r="485" spans="63:63">
      <c r="BK485" s="6" t="s">
        <v>1155</v>
      </c>
    </row>
    <row r="486" spans="63:63">
      <c r="BK486" s="6" t="s">
        <v>1156</v>
      </c>
    </row>
    <row r="487" spans="63:63">
      <c r="BK487" s="6" t="s">
        <v>1157</v>
      </c>
    </row>
    <row r="488" spans="63:63">
      <c r="BK488" s="6" t="s">
        <v>1158</v>
      </c>
    </row>
    <row r="489" spans="63:63">
      <c r="BK489" s="6" t="s">
        <v>1159</v>
      </c>
    </row>
    <row r="490" spans="63:63">
      <c r="BK490" s="6" t="s">
        <v>1160</v>
      </c>
    </row>
    <row r="491" spans="63:63">
      <c r="BK491" s="6" t="s">
        <v>1161</v>
      </c>
    </row>
    <row r="492" spans="63:63">
      <c r="BK492" s="6" t="s">
        <v>1162</v>
      </c>
    </row>
    <row r="493" spans="63:63">
      <c r="BK493" s="6" t="s">
        <v>1163</v>
      </c>
    </row>
    <row r="494" spans="63:63">
      <c r="BK494" s="6" t="s">
        <v>1164</v>
      </c>
    </row>
    <row r="495" spans="63:63">
      <c r="BK495" s="6" t="s">
        <v>718</v>
      </c>
    </row>
    <row r="496" spans="63:63">
      <c r="BK496" s="6" t="s">
        <v>1165</v>
      </c>
    </row>
    <row r="497" spans="63:63">
      <c r="BK497" s="6" t="s">
        <v>1166</v>
      </c>
    </row>
    <row r="498" spans="63:63">
      <c r="BK498" s="6" t="s">
        <v>1167</v>
      </c>
    </row>
    <row r="499" spans="63:63">
      <c r="BK499" s="6" t="s">
        <v>1168</v>
      </c>
    </row>
    <row r="500" spans="63:63">
      <c r="BK500" s="6" t="s">
        <v>1169</v>
      </c>
    </row>
    <row r="501" spans="63:63">
      <c r="BK501" s="6" t="s">
        <v>1170</v>
      </c>
    </row>
    <row r="502" spans="63:63">
      <c r="BK502" s="6" t="s">
        <v>1171</v>
      </c>
    </row>
    <row r="503" spans="63:63">
      <c r="BK503" s="6" t="s">
        <v>1172</v>
      </c>
    </row>
    <row r="504" spans="63:63">
      <c r="BK504" s="6" t="s">
        <v>1173</v>
      </c>
    </row>
    <row r="505" spans="63:63">
      <c r="BK505" s="6" t="s">
        <v>1174</v>
      </c>
    </row>
    <row r="506" spans="63:63">
      <c r="BK506" s="6" t="s">
        <v>1175</v>
      </c>
    </row>
    <row r="507" spans="63:63">
      <c r="BK507" s="6" t="s">
        <v>1176</v>
      </c>
    </row>
    <row r="508" spans="63:63">
      <c r="BK508" s="6" t="s">
        <v>1177</v>
      </c>
    </row>
    <row r="509" spans="63:63">
      <c r="BK509" s="6" t="s">
        <v>1178</v>
      </c>
    </row>
    <row r="510" spans="63:63">
      <c r="BK510" s="6" t="s">
        <v>1179</v>
      </c>
    </row>
    <row r="511" spans="63:63">
      <c r="BK511" s="6" t="s">
        <v>1180</v>
      </c>
    </row>
    <row r="512" spans="63:63">
      <c r="BK512" s="6" t="s">
        <v>1181</v>
      </c>
    </row>
    <row r="513" spans="63:63">
      <c r="BK513" s="6" t="s">
        <v>1182</v>
      </c>
    </row>
    <row r="514" spans="63:63">
      <c r="BK514" s="6" t="s">
        <v>1183</v>
      </c>
    </row>
    <row r="515" spans="63:63">
      <c r="BK515" s="6" t="s">
        <v>1184</v>
      </c>
    </row>
    <row r="516" spans="63:63">
      <c r="BK516" s="6" t="s">
        <v>1185</v>
      </c>
    </row>
    <row r="517" spans="63:63">
      <c r="BK517" s="6" t="s">
        <v>1186</v>
      </c>
    </row>
    <row r="518" spans="63:63">
      <c r="BK518" s="6" t="s">
        <v>1187</v>
      </c>
    </row>
    <row r="519" spans="63:63">
      <c r="BK519" s="6" t="s">
        <v>1188</v>
      </c>
    </row>
    <row r="520" spans="63:63">
      <c r="BK520" s="6" t="s">
        <v>1189</v>
      </c>
    </row>
    <row r="521" spans="63:63">
      <c r="BK521" s="6" t="s">
        <v>1190</v>
      </c>
    </row>
    <row r="522" spans="63:63">
      <c r="BK522" s="6" t="s">
        <v>1191</v>
      </c>
    </row>
    <row r="523" spans="63:63">
      <c r="BK523" s="6" t="s">
        <v>1192</v>
      </c>
    </row>
    <row r="524" spans="63:63">
      <c r="BK524" s="6" t="s">
        <v>1193</v>
      </c>
    </row>
    <row r="525" spans="63:63">
      <c r="BK525" s="6" t="s">
        <v>1194</v>
      </c>
    </row>
    <row r="526" spans="63:63">
      <c r="BK526" s="6" t="s">
        <v>1195</v>
      </c>
    </row>
    <row r="527" spans="63:63">
      <c r="BK527" s="6" t="s">
        <v>1196</v>
      </c>
    </row>
    <row r="528" spans="63:63">
      <c r="BK528" s="6" t="s">
        <v>1197</v>
      </c>
    </row>
    <row r="529" spans="63:63">
      <c r="BK529" s="6" t="s">
        <v>1198</v>
      </c>
    </row>
    <row r="530" spans="63:63">
      <c r="BK530" s="6" t="s">
        <v>1199</v>
      </c>
    </row>
    <row r="531" spans="63:63">
      <c r="BK531" s="6" t="s">
        <v>1200</v>
      </c>
    </row>
    <row r="532" spans="63:63">
      <c r="BK532" s="6" t="s">
        <v>1201</v>
      </c>
    </row>
    <row r="533" spans="63:63">
      <c r="BK533" s="6" t="s">
        <v>1202</v>
      </c>
    </row>
    <row r="534" spans="63:63">
      <c r="BK534" s="6" t="s">
        <v>1203</v>
      </c>
    </row>
    <row r="535" spans="63:63">
      <c r="BK535" s="6" t="s">
        <v>726</v>
      </c>
    </row>
    <row r="536" spans="63:63">
      <c r="BK536" s="6" t="s">
        <v>726</v>
      </c>
    </row>
    <row r="537" spans="63:63">
      <c r="BK537" s="6" t="s">
        <v>1204</v>
      </c>
    </row>
    <row r="538" spans="63:63">
      <c r="BK538" s="6" t="s">
        <v>1205</v>
      </c>
    </row>
    <row r="539" spans="63:63">
      <c r="BK539" s="6" t="s">
        <v>1206</v>
      </c>
    </row>
    <row r="540" spans="63:63">
      <c r="BK540" s="6" t="s">
        <v>1207</v>
      </c>
    </row>
    <row r="541" spans="63:63">
      <c r="BK541" s="6" t="s">
        <v>1208</v>
      </c>
    </row>
    <row r="542" spans="63:63">
      <c r="BK542" s="6" t="s">
        <v>1209</v>
      </c>
    </row>
    <row r="543" spans="63:63">
      <c r="BK543" s="6" t="s">
        <v>1210</v>
      </c>
    </row>
    <row r="544" spans="63:63">
      <c r="BK544" s="6" t="s">
        <v>1211</v>
      </c>
    </row>
    <row r="545" spans="63:63">
      <c r="BK545" s="6" t="s">
        <v>1212</v>
      </c>
    </row>
    <row r="546" spans="63:63">
      <c r="BK546" s="6" t="s">
        <v>1213</v>
      </c>
    </row>
    <row r="547" spans="63:63">
      <c r="BK547" s="6" t="s">
        <v>1214</v>
      </c>
    </row>
    <row r="548" spans="63:63">
      <c r="BK548" s="6" t="s">
        <v>1215</v>
      </c>
    </row>
    <row r="549" spans="63:63">
      <c r="BK549" s="6" t="s">
        <v>1216</v>
      </c>
    </row>
    <row r="550" spans="63:63">
      <c r="BK550" s="6" t="s">
        <v>1217</v>
      </c>
    </row>
    <row r="551" spans="63:63">
      <c r="BK551" s="6" t="s">
        <v>1218</v>
      </c>
    </row>
    <row r="552" spans="63:63">
      <c r="BK552" s="6" t="s">
        <v>1219</v>
      </c>
    </row>
    <row r="553" spans="63:63">
      <c r="BK553" s="6" t="s">
        <v>1220</v>
      </c>
    </row>
    <row r="554" spans="63:63">
      <c r="BK554" s="6" t="s">
        <v>1221</v>
      </c>
    </row>
    <row r="555" spans="63:63">
      <c r="BK555" s="6" t="s">
        <v>1222</v>
      </c>
    </row>
    <row r="556" spans="63:63">
      <c r="BK556" s="6" t="s">
        <v>1223</v>
      </c>
    </row>
    <row r="557" spans="63:63">
      <c r="BK557" s="6" t="s">
        <v>1224</v>
      </c>
    </row>
    <row r="558" spans="63:63">
      <c r="BK558" s="6" t="s">
        <v>1225</v>
      </c>
    </row>
    <row r="559" spans="63:63">
      <c r="BK559" s="6" t="s">
        <v>1226</v>
      </c>
    </row>
    <row r="560" spans="63:63">
      <c r="BK560" s="6" t="s">
        <v>1227</v>
      </c>
    </row>
    <row r="561" spans="63:63">
      <c r="BK561" s="6" t="s">
        <v>1228</v>
      </c>
    </row>
    <row r="562" spans="63:63">
      <c r="BK562" s="6" t="s">
        <v>1229</v>
      </c>
    </row>
    <row r="563" spans="63:63">
      <c r="BK563" s="6" t="s">
        <v>1230</v>
      </c>
    </row>
    <row r="564" spans="63:63">
      <c r="BK564" s="6" t="s">
        <v>1231</v>
      </c>
    </row>
    <row r="565" spans="63:63">
      <c r="BK565" s="6" t="s">
        <v>1232</v>
      </c>
    </row>
    <row r="566" spans="63:63">
      <c r="BK566" s="6" t="s">
        <v>1233</v>
      </c>
    </row>
    <row r="567" spans="63:63">
      <c r="BK567" s="6" t="s">
        <v>1234</v>
      </c>
    </row>
    <row r="568" spans="63:63">
      <c r="BK568" s="6" t="s">
        <v>1235</v>
      </c>
    </row>
    <row r="569" spans="63:63">
      <c r="BK569" s="6" t="s">
        <v>1236</v>
      </c>
    </row>
    <row r="570" spans="63:63">
      <c r="BK570" s="6" t="s">
        <v>1237</v>
      </c>
    </row>
    <row r="571" spans="63:63">
      <c r="BK571" s="6" t="s">
        <v>1238</v>
      </c>
    </row>
    <row r="572" spans="63:63">
      <c r="BK572" s="6" t="s">
        <v>1239</v>
      </c>
    </row>
    <row r="573" spans="63:63">
      <c r="BK573" s="6" t="s">
        <v>1240</v>
      </c>
    </row>
    <row r="574" spans="63:63">
      <c r="BK574" s="6" t="s">
        <v>1241</v>
      </c>
    </row>
    <row r="575" spans="63:63">
      <c r="BK575" s="6" t="s">
        <v>1242</v>
      </c>
    </row>
    <row r="576" spans="63:63">
      <c r="BK576" s="6" t="s">
        <v>1243</v>
      </c>
    </row>
    <row r="577" spans="63:63">
      <c r="BK577" s="6" t="s">
        <v>1244</v>
      </c>
    </row>
    <row r="578" spans="63:63">
      <c r="BK578" s="6" t="s">
        <v>1245</v>
      </c>
    </row>
    <row r="579" spans="63:63">
      <c r="BK579" s="6" t="s">
        <v>1246</v>
      </c>
    </row>
    <row r="580" spans="63:63">
      <c r="BK580" s="6" t="s">
        <v>1247</v>
      </c>
    </row>
    <row r="581" spans="63:63">
      <c r="BK581" s="6" t="s">
        <v>1248</v>
      </c>
    </row>
    <row r="582" spans="63:63">
      <c r="BK582" s="6" t="s">
        <v>1249</v>
      </c>
    </row>
    <row r="583" spans="63:63">
      <c r="BK583" s="6" t="s">
        <v>1250</v>
      </c>
    </row>
    <row r="584" spans="63:63">
      <c r="BK584" s="6" t="s">
        <v>1251</v>
      </c>
    </row>
    <row r="585" spans="63:63">
      <c r="BK585" s="6" t="s">
        <v>1252</v>
      </c>
    </row>
    <row r="586" spans="63:63">
      <c r="BK586" s="6" t="s">
        <v>1253</v>
      </c>
    </row>
    <row r="587" spans="63:63">
      <c r="BK587" s="6" t="s">
        <v>1254</v>
      </c>
    </row>
    <row r="588" spans="63:63">
      <c r="BK588" s="6" t="s">
        <v>1255</v>
      </c>
    </row>
    <row r="589" spans="63:63">
      <c r="BK589" s="6" t="s">
        <v>1256</v>
      </c>
    </row>
    <row r="590" spans="63:63">
      <c r="BK590" s="6" t="s">
        <v>1257</v>
      </c>
    </row>
    <row r="591" spans="63:63">
      <c r="BK591" s="6" t="s">
        <v>1258</v>
      </c>
    </row>
    <row r="592" spans="63:63">
      <c r="BK592" s="6" t="s">
        <v>1259</v>
      </c>
    </row>
    <row r="593" spans="63:63">
      <c r="BK593" s="6" t="s">
        <v>1260</v>
      </c>
    </row>
    <row r="594" spans="63:63">
      <c r="BK594" s="6" t="s">
        <v>1261</v>
      </c>
    </row>
    <row r="595" spans="63:63">
      <c r="BK595" s="6" t="s">
        <v>1262</v>
      </c>
    </row>
    <row r="596" spans="63:63">
      <c r="BK596" s="6" t="s">
        <v>1263</v>
      </c>
    </row>
    <row r="597" spans="63:63">
      <c r="BK597" s="6" t="s">
        <v>1264</v>
      </c>
    </row>
    <row r="598" spans="63:63">
      <c r="BK598" s="6" t="s">
        <v>1265</v>
      </c>
    </row>
    <row r="599" spans="63:63">
      <c r="BK599" s="6" t="s">
        <v>1266</v>
      </c>
    </row>
    <row r="600" spans="63:63">
      <c r="BK600" s="6" t="s">
        <v>1267</v>
      </c>
    </row>
    <row r="601" spans="63:63">
      <c r="BK601" s="6" t="s">
        <v>1268</v>
      </c>
    </row>
    <row r="602" spans="63:63">
      <c r="BK602" s="6" t="s">
        <v>1269</v>
      </c>
    </row>
    <row r="603" spans="63:63">
      <c r="BK603" s="6" t="s">
        <v>1270</v>
      </c>
    </row>
    <row r="604" spans="63:63">
      <c r="BK604" s="6" t="s">
        <v>1271</v>
      </c>
    </row>
    <row r="605" spans="63:63">
      <c r="BK605" s="6" t="s">
        <v>1272</v>
      </c>
    </row>
    <row r="606" spans="63:63">
      <c r="BK606" s="6" t="s">
        <v>1273</v>
      </c>
    </row>
    <row r="607" spans="63:63">
      <c r="BK607" s="6" t="s">
        <v>1274</v>
      </c>
    </row>
    <row r="608" spans="63:63">
      <c r="BK608" s="6" t="s">
        <v>1275</v>
      </c>
    </row>
    <row r="609" spans="63:63">
      <c r="BK609" s="6" t="s">
        <v>1276</v>
      </c>
    </row>
    <row r="610" spans="63:63">
      <c r="BK610" s="6" t="s">
        <v>1277</v>
      </c>
    </row>
    <row r="611" spans="63:63">
      <c r="BK611" s="6" t="s">
        <v>1278</v>
      </c>
    </row>
    <row r="612" spans="63:63">
      <c r="BK612" s="6" t="s">
        <v>1279</v>
      </c>
    </row>
    <row r="613" spans="63:63">
      <c r="BK613" s="6" t="s">
        <v>1280</v>
      </c>
    </row>
    <row r="614" spans="63:63">
      <c r="BK614" s="6" t="s">
        <v>1281</v>
      </c>
    </row>
    <row r="615" spans="63:63">
      <c r="BK615" s="6" t="s">
        <v>1282</v>
      </c>
    </row>
    <row r="616" spans="63:63">
      <c r="BK616" s="6" t="s">
        <v>1283</v>
      </c>
    </row>
    <row r="617" spans="63:63">
      <c r="BK617" s="6" t="s">
        <v>1284</v>
      </c>
    </row>
    <row r="618" spans="63:63">
      <c r="BK618" s="6" t="s">
        <v>1285</v>
      </c>
    </row>
    <row r="619" spans="63:63">
      <c r="BK619" s="6" t="s">
        <v>1286</v>
      </c>
    </row>
    <row r="620" spans="63:63">
      <c r="BK620" s="6" t="s">
        <v>1287</v>
      </c>
    </row>
    <row r="621" spans="63:63">
      <c r="BK621" s="6" t="s">
        <v>1288</v>
      </c>
    </row>
    <row r="622" spans="63:63">
      <c r="BK622" s="6" t="s">
        <v>1289</v>
      </c>
    </row>
    <row r="623" spans="63:63">
      <c r="BK623" s="6" t="s">
        <v>1290</v>
      </c>
    </row>
    <row r="624" spans="63:63">
      <c r="BK624" s="6" t="s">
        <v>1291</v>
      </c>
    </row>
    <row r="625" spans="63:63">
      <c r="BK625" s="6" t="s">
        <v>1292</v>
      </c>
    </row>
    <row r="626" spans="63:63">
      <c r="BK626" s="6" t="s">
        <v>1293</v>
      </c>
    </row>
    <row r="627" spans="63:63">
      <c r="BK627" s="6" t="s">
        <v>1294</v>
      </c>
    </row>
    <row r="628" spans="63:63">
      <c r="BK628" s="6" t="s">
        <v>1295</v>
      </c>
    </row>
    <row r="629" spans="63:63">
      <c r="BK629" s="6" t="s">
        <v>1295</v>
      </c>
    </row>
    <row r="630" spans="63:63">
      <c r="BK630" s="6" t="s">
        <v>1296</v>
      </c>
    </row>
    <row r="631" spans="63:63">
      <c r="BK631" s="6" t="s">
        <v>1297</v>
      </c>
    </row>
    <row r="632" spans="63:63">
      <c r="BK632" s="6" t="s">
        <v>1298</v>
      </c>
    </row>
    <row r="633" spans="63:63">
      <c r="BK633" s="6" t="s">
        <v>1299</v>
      </c>
    </row>
    <row r="634" spans="63:63">
      <c r="BK634" s="6" t="s">
        <v>1300</v>
      </c>
    </row>
    <row r="635" spans="63:63">
      <c r="BK635" s="6" t="s">
        <v>1301</v>
      </c>
    </row>
    <row r="636" spans="63:63">
      <c r="BK636" s="6" t="s">
        <v>1302</v>
      </c>
    </row>
    <row r="637" spans="63:63">
      <c r="BK637" s="6" t="s">
        <v>1303</v>
      </c>
    </row>
    <row r="638" spans="63:63">
      <c r="BK638" s="6" t="s">
        <v>1304</v>
      </c>
    </row>
    <row r="639" spans="63:63">
      <c r="BK639" s="6" t="s">
        <v>1305</v>
      </c>
    </row>
    <row r="640" spans="63:63">
      <c r="BK640" s="6" t="s">
        <v>1306</v>
      </c>
    </row>
    <row r="641" spans="63:63">
      <c r="BK641" s="6" t="s">
        <v>1307</v>
      </c>
    </row>
    <row r="642" spans="63:63">
      <c r="BK642" s="6" t="s">
        <v>1308</v>
      </c>
    </row>
    <row r="643" spans="63:63">
      <c r="BK643" s="6" t="s">
        <v>1309</v>
      </c>
    </row>
    <row r="644" spans="63:63">
      <c r="BK644" s="6" t="s">
        <v>1310</v>
      </c>
    </row>
    <row r="645" spans="63:63">
      <c r="BK645" s="6" t="s">
        <v>1311</v>
      </c>
    </row>
    <row r="646" spans="63:63">
      <c r="BK646" s="6" t="s">
        <v>1312</v>
      </c>
    </row>
    <row r="647" spans="63:63">
      <c r="BK647" s="6" t="s">
        <v>1313</v>
      </c>
    </row>
    <row r="648" spans="63:63">
      <c r="BK648" s="6" t="s">
        <v>1314</v>
      </c>
    </row>
    <row r="649" spans="63:63">
      <c r="BK649" s="6" t="s">
        <v>693</v>
      </c>
    </row>
    <row r="650" spans="63:63">
      <c r="BK650" s="6" t="s">
        <v>1315</v>
      </c>
    </row>
    <row r="651" spans="63:63">
      <c r="BK651" s="6" t="s">
        <v>1316</v>
      </c>
    </row>
    <row r="652" spans="63:63">
      <c r="BK652" s="6" t="s">
        <v>1317</v>
      </c>
    </row>
    <row r="653" spans="63:63">
      <c r="BK653" s="6" t="s">
        <v>1318</v>
      </c>
    </row>
    <row r="654" spans="63:63">
      <c r="BK654" s="6" t="s">
        <v>1319</v>
      </c>
    </row>
    <row r="655" spans="63:63">
      <c r="BK655" s="6" t="s">
        <v>1320</v>
      </c>
    </row>
    <row r="656" spans="63:63">
      <c r="BK656" s="6" t="s">
        <v>1321</v>
      </c>
    </row>
    <row r="657" spans="63:63">
      <c r="BK657" s="6" t="s">
        <v>1322</v>
      </c>
    </row>
    <row r="658" spans="63:63">
      <c r="BK658" s="6" t="s">
        <v>1323</v>
      </c>
    </row>
    <row r="659" spans="63:63">
      <c r="BK659" s="6" t="s">
        <v>1324</v>
      </c>
    </row>
    <row r="660" spans="63:63">
      <c r="BK660" s="6" t="s">
        <v>1325</v>
      </c>
    </row>
    <row r="661" spans="63:63">
      <c r="BK661" s="6" t="s">
        <v>1326</v>
      </c>
    </row>
    <row r="662" spans="63:63">
      <c r="BK662" s="6" t="s">
        <v>1327</v>
      </c>
    </row>
    <row r="663" spans="63:63">
      <c r="BK663" s="6" t="s">
        <v>1328</v>
      </c>
    </row>
    <row r="664" spans="63:63">
      <c r="BK664" s="6" t="s">
        <v>1329</v>
      </c>
    </row>
    <row r="665" spans="63:63">
      <c r="BK665" s="6" t="s">
        <v>1330</v>
      </c>
    </row>
    <row r="666" spans="63:63">
      <c r="BK666" s="6" t="s">
        <v>1331</v>
      </c>
    </row>
    <row r="667" spans="63:63">
      <c r="BK667" s="6" t="s">
        <v>1332</v>
      </c>
    </row>
    <row r="668" spans="63:63">
      <c r="BK668" s="6" t="s">
        <v>1333</v>
      </c>
    </row>
    <row r="669" spans="63:63">
      <c r="BK669" s="6" t="s">
        <v>1334</v>
      </c>
    </row>
    <row r="670" spans="63:63">
      <c r="BK670" s="6" t="s">
        <v>1335</v>
      </c>
    </row>
    <row r="671" spans="63:63">
      <c r="BK671" s="6" t="s">
        <v>1336</v>
      </c>
    </row>
    <row r="672" spans="63:63">
      <c r="BK672" s="6" t="s">
        <v>1337</v>
      </c>
    </row>
    <row r="673" spans="63:63">
      <c r="BK673" s="6" t="s">
        <v>1338</v>
      </c>
    </row>
    <row r="674" spans="63:63">
      <c r="BK674" s="6" t="s">
        <v>1339</v>
      </c>
    </row>
    <row r="675" spans="63:63">
      <c r="BK675" s="6" t="s">
        <v>1340</v>
      </c>
    </row>
    <row r="676" spans="63:63">
      <c r="BK676" s="6" t="s">
        <v>1341</v>
      </c>
    </row>
    <row r="677" spans="63:63">
      <c r="BK677" s="6" t="s">
        <v>1342</v>
      </c>
    </row>
    <row r="678" spans="63:63">
      <c r="BK678" s="6" t="s">
        <v>1343</v>
      </c>
    </row>
    <row r="679" spans="63:63">
      <c r="BK679" s="6" t="s">
        <v>1344</v>
      </c>
    </row>
    <row r="680" spans="63:63">
      <c r="BK680" s="6" t="s">
        <v>1345</v>
      </c>
    </row>
    <row r="681" spans="63:63">
      <c r="BK681" s="6" t="s">
        <v>1346</v>
      </c>
    </row>
    <row r="682" spans="63:63">
      <c r="BK682" s="6" t="s">
        <v>1347</v>
      </c>
    </row>
    <row r="683" spans="63:63">
      <c r="BK683" s="6" t="s">
        <v>1348</v>
      </c>
    </row>
    <row r="684" spans="63:63">
      <c r="BK684" s="6" t="s">
        <v>1349</v>
      </c>
    </row>
    <row r="685" spans="63:63">
      <c r="BK685" s="6" t="s">
        <v>1350</v>
      </c>
    </row>
    <row r="686" spans="63:63">
      <c r="BK686" s="6" t="s">
        <v>1351</v>
      </c>
    </row>
    <row r="687" spans="63:63">
      <c r="BK687" s="6" t="s">
        <v>1352</v>
      </c>
    </row>
    <row r="688" spans="63:63">
      <c r="BK688" s="6" t="s">
        <v>1353</v>
      </c>
    </row>
    <row r="689" spans="63:63">
      <c r="BK689" s="6" t="s">
        <v>1354</v>
      </c>
    </row>
    <row r="690" spans="63:63">
      <c r="BK690" s="6" t="s">
        <v>1355</v>
      </c>
    </row>
    <row r="691" spans="63:63">
      <c r="BK691" s="6" t="s">
        <v>1356</v>
      </c>
    </row>
    <row r="692" spans="63:63">
      <c r="BK692" s="6" t="s">
        <v>1357</v>
      </c>
    </row>
    <row r="693" spans="63:63">
      <c r="BK693" s="6" t="s">
        <v>1358</v>
      </c>
    </row>
    <row r="694" spans="63:63">
      <c r="BK694" s="6" t="s">
        <v>1359</v>
      </c>
    </row>
    <row r="695" spans="63:63">
      <c r="BK695" s="6" t="s">
        <v>1360</v>
      </c>
    </row>
    <row r="696" spans="63:63">
      <c r="BK696" s="6" t="s">
        <v>1361</v>
      </c>
    </row>
    <row r="697" spans="63:63">
      <c r="BK697" s="6" t="s">
        <v>1362</v>
      </c>
    </row>
    <row r="698" spans="63:63">
      <c r="BK698" s="6" t="s">
        <v>1363</v>
      </c>
    </row>
    <row r="699" spans="63:63">
      <c r="BK699" s="6" t="s">
        <v>1364</v>
      </c>
    </row>
    <row r="700" spans="63:63">
      <c r="BK700" s="6" t="s">
        <v>1365</v>
      </c>
    </row>
    <row r="701" spans="63:63">
      <c r="BK701" s="6" t="s">
        <v>1366</v>
      </c>
    </row>
    <row r="702" spans="63:63">
      <c r="BK702" s="6" t="s">
        <v>1367</v>
      </c>
    </row>
    <row r="703" spans="63:63">
      <c r="BK703" s="6" t="s">
        <v>1368</v>
      </c>
    </row>
    <row r="704" spans="63:63">
      <c r="BK704" s="6" t="s">
        <v>1369</v>
      </c>
    </row>
    <row r="705" spans="63:63">
      <c r="BK705" s="6" t="s">
        <v>1370</v>
      </c>
    </row>
    <row r="706" spans="63:63">
      <c r="BK706" s="6" t="s">
        <v>1371</v>
      </c>
    </row>
    <row r="707" spans="63:63">
      <c r="BK707" s="6" t="s">
        <v>1372</v>
      </c>
    </row>
    <row r="708" spans="63:63">
      <c r="BK708" s="6" t="s">
        <v>1373</v>
      </c>
    </row>
    <row r="709" spans="63:63">
      <c r="BK709" s="6" t="s">
        <v>1374</v>
      </c>
    </row>
    <row r="710" spans="63:63">
      <c r="BK710" s="6" t="s">
        <v>1375</v>
      </c>
    </row>
    <row r="711" spans="63:63">
      <c r="BK711" s="6" t="s">
        <v>1376</v>
      </c>
    </row>
    <row r="712" spans="63:63">
      <c r="BK712" s="6" t="s">
        <v>1377</v>
      </c>
    </row>
    <row r="713" spans="63:63">
      <c r="BK713" s="6" t="s">
        <v>1378</v>
      </c>
    </row>
    <row r="714" spans="63:63">
      <c r="BK714" s="6" t="s">
        <v>1379</v>
      </c>
    </row>
    <row r="715" spans="63:63">
      <c r="BK715" s="6" t="s">
        <v>1380</v>
      </c>
    </row>
    <row r="716" spans="63:63">
      <c r="BK716" s="6" t="s">
        <v>1381</v>
      </c>
    </row>
    <row r="717" spans="63:63">
      <c r="BK717" s="6" t="s">
        <v>1382</v>
      </c>
    </row>
    <row r="718" spans="63:63">
      <c r="BK718" s="6" t="s">
        <v>1383</v>
      </c>
    </row>
    <row r="719" spans="63:63">
      <c r="BK719" s="6" t="s">
        <v>1384</v>
      </c>
    </row>
    <row r="720" spans="63:63">
      <c r="BK720" s="6" t="s">
        <v>1385</v>
      </c>
    </row>
    <row r="721" spans="63:63">
      <c r="BK721" s="6" t="s">
        <v>1386</v>
      </c>
    </row>
    <row r="722" spans="63:63">
      <c r="BK722" s="6" t="s">
        <v>1387</v>
      </c>
    </row>
    <row r="723" spans="63:63">
      <c r="BK723" s="6" t="s">
        <v>1388</v>
      </c>
    </row>
    <row r="724" spans="63:63">
      <c r="BK724" s="6" t="s">
        <v>1389</v>
      </c>
    </row>
    <row r="725" spans="63:63">
      <c r="BK725" s="6" t="s">
        <v>1390</v>
      </c>
    </row>
    <row r="726" spans="63:63">
      <c r="BK726" s="6" t="s">
        <v>1391</v>
      </c>
    </row>
    <row r="727" spans="63:63">
      <c r="BK727" s="6" t="s">
        <v>1392</v>
      </c>
    </row>
    <row r="728" spans="63:63">
      <c r="BK728" s="6" t="s">
        <v>1393</v>
      </c>
    </row>
    <row r="729" spans="63:63">
      <c r="BK729" s="6" t="s">
        <v>1394</v>
      </c>
    </row>
    <row r="730" spans="63:63">
      <c r="BK730" s="6" t="s">
        <v>1396</v>
      </c>
    </row>
    <row r="731" spans="63:63">
      <c r="BK731" s="6" t="s">
        <v>1395</v>
      </c>
    </row>
    <row r="732" spans="63:63">
      <c r="BK732" s="6" t="s">
        <v>1397</v>
      </c>
    </row>
    <row r="733" spans="63:63">
      <c r="BK733" s="6" t="s">
        <v>1398</v>
      </c>
    </row>
    <row r="734" spans="63:63">
      <c r="BK734" s="6" t="s">
        <v>1399</v>
      </c>
    </row>
    <row r="735" spans="63:63">
      <c r="BK735" s="6" t="s">
        <v>1400</v>
      </c>
    </row>
    <row r="736" spans="63:63">
      <c r="BK736" s="6" t="s">
        <v>1401</v>
      </c>
    </row>
    <row r="737" spans="63:63">
      <c r="BK737" s="6" t="s">
        <v>1402</v>
      </c>
    </row>
    <row r="738" spans="63:63">
      <c r="BK738" s="6" t="s">
        <v>1403</v>
      </c>
    </row>
    <row r="739" spans="63:63">
      <c r="BK739" s="6" t="s">
        <v>1404</v>
      </c>
    </row>
    <row r="740" spans="63:63">
      <c r="BK740" s="6" t="s">
        <v>1405</v>
      </c>
    </row>
    <row r="741" spans="63:63">
      <c r="BK741" s="6" t="s">
        <v>1406</v>
      </c>
    </row>
    <row r="742" spans="63:63">
      <c r="BK742" s="6" t="s">
        <v>1407</v>
      </c>
    </row>
    <row r="743" spans="63:63">
      <c r="BK743" s="6" t="s">
        <v>1408</v>
      </c>
    </row>
    <row r="744" spans="63:63">
      <c r="BK744" s="6" t="s">
        <v>1409</v>
      </c>
    </row>
    <row r="745" spans="63:63">
      <c r="BK745" s="6" t="s">
        <v>1410</v>
      </c>
    </row>
    <row r="746" spans="63:63">
      <c r="BK746" s="6" t="s">
        <v>1411</v>
      </c>
    </row>
    <row r="747" spans="63:63">
      <c r="BK747" s="6" t="s">
        <v>1412</v>
      </c>
    </row>
    <row r="748" spans="63:63">
      <c r="BK748" s="6" t="s">
        <v>1413</v>
      </c>
    </row>
    <row r="749" spans="63:63">
      <c r="BK749" s="6" t="s">
        <v>1414</v>
      </c>
    </row>
    <row r="750" spans="63:63">
      <c r="BK750" s="6" t="s">
        <v>1415</v>
      </c>
    </row>
    <row r="751" spans="63:63">
      <c r="BK751" s="6" t="s">
        <v>1416</v>
      </c>
    </row>
    <row r="752" spans="63:63">
      <c r="BK752" s="6" t="s">
        <v>1417</v>
      </c>
    </row>
    <row r="753" spans="63:63">
      <c r="BK753" s="6" t="s">
        <v>1418</v>
      </c>
    </row>
    <row r="754" spans="63:63">
      <c r="BK754" s="6" t="s">
        <v>1419</v>
      </c>
    </row>
    <row r="755" spans="63:63">
      <c r="BK755" s="6" t="s">
        <v>1420</v>
      </c>
    </row>
    <row r="756" spans="63:63">
      <c r="BK756" s="6" t="s">
        <v>1421</v>
      </c>
    </row>
    <row r="757" spans="63:63">
      <c r="BK757" s="6" t="s">
        <v>1422</v>
      </c>
    </row>
    <row r="758" spans="63:63">
      <c r="BK758" s="6" t="s">
        <v>1423</v>
      </c>
    </row>
    <row r="759" spans="63:63">
      <c r="BK759" s="6" t="s">
        <v>1424</v>
      </c>
    </row>
    <row r="760" spans="63:63">
      <c r="BK760" s="6" t="s">
        <v>1425</v>
      </c>
    </row>
    <row r="761" spans="63:63">
      <c r="BK761" s="6" t="s">
        <v>1426</v>
      </c>
    </row>
    <row r="762" spans="63:63">
      <c r="BK762" s="6" t="s">
        <v>1427</v>
      </c>
    </row>
    <row r="763" spans="63:63">
      <c r="BK763" s="6" t="s">
        <v>1428</v>
      </c>
    </row>
    <row r="764" spans="63:63">
      <c r="BK764" s="6" t="s">
        <v>1429</v>
      </c>
    </row>
    <row r="765" spans="63:63">
      <c r="BK765" s="6" t="s">
        <v>1430</v>
      </c>
    </row>
    <row r="766" spans="63:63">
      <c r="BK766" s="6" t="s">
        <v>1431</v>
      </c>
    </row>
    <row r="767" spans="63:63">
      <c r="BK767" s="6" t="s">
        <v>1432</v>
      </c>
    </row>
    <row r="768" spans="63:63">
      <c r="BK768" s="6" t="s">
        <v>1433</v>
      </c>
    </row>
    <row r="769" spans="63:63">
      <c r="BK769" s="6" t="s">
        <v>1434</v>
      </c>
    </row>
    <row r="770" spans="63:63">
      <c r="BK770" s="6" t="s">
        <v>1435</v>
      </c>
    </row>
    <row r="771" spans="63:63">
      <c r="BK771" s="6" t="s">
        <v>1437</v>
      </c>
    </row>
    <row r="772" spans="63:63">
      <c r="BK772" s="6" t="s">
        <v>1438</v>
      </c>
    </row>
    <row r="773" spans="63:63">
      <c r="BK773" s="6" t="s">
        <v>1439</v>
      </c>
    </row>
    <row r="774" spans="63:63">
      <c r="BK774" s="6" t="s">
        <v>1440</v>
      </c>
    </row>
    <row r="775" spans="63:63">
      <c r="BK775" s="6" t="s">
        <v>1441</v>
      </c>
    </row>
    <row r="776" spans="63:63">
      <c r="BK776" s="6" t="s">
        <v>1442</v>
      </c>
    </row>
    <row r="777" spans="63:63">
      <c r="BK777" s="6" t="s">
        <v>1443</v>
      </c>
    </row>
    <row r="778" spans="63:63">
      <c r="BK778" s="6" t="s">
        <v>1444</v>
      </c>
    </row>
    <row r="779" spans="63:63">
      <c r="BK779" s="6" t="s">
        <v>1445</v>
      </c>
    </row>
    <row r="780" spans="63:63">
      <c r="BK780" s="6" t="s">
        <v>1446</v>
      </c>
    </row>
    <row r="781" spans="63:63">
      <c r="BK781" s="6" t="s">
        <v>1447</v>
      </c>
    </row>
    <row r="782" spans="63:63">
      <c r="BK782" s="6" t="s">
        <v>1448</v>
      </c>
    </row>
    <row r="783" spans="63:63">
      <c r="BK783" s="6" t="s">
        <v>1449</v>
      </c>
    </row>
    <row r="784" spans="63:63">
      <c r="BK784" s="6" t="s">
        <v>1450</v>
      </c>
    </row>
    <row r="785" spans="63:63">
      <c r="BK785" s="6" t="s">
        <v>1451</v>
      </c>
    </row>
    <row r="786" spans="63:63">
      <c r="BK786" s="6" t="s">
        <v>1452</v>
      </c>
    </row>
    <row r="787" spans="63:63">
      <c r="BK787" s="6" t="s">
        <v>1453</v>
      </c>
    </row>
    <row r="788" spans="63:63">
      <c r="BK788" s="6" t="s">
        <v>1454</v>
      </c>
    </row>
    <row r="789" spans="63:63">
      <c r="BK789" s="6" t="s">
        <v>1436</v>
      </c>
    </row>
    <row r="790" spans="63:63">
      <c r="BK790" s="6" t="s">
        <v>1455</v>
      </c>
    </row>
    <row r="791" spans="63:63">
      <c r="BK791" s="6" t="s">
        <v>1456</v>
      </c>
    </row>
    <row r="792" spans="63:63">
      <c r="BK792" s="6" t="s">
        <v>1457</v>
      </c>
    </row>
    <row r="793" spans="63:63">
      <c r="BK793" s="6" t="s">
        <v>1458</v>
      </c>
    </row>
    <row r="794" spans="63:63">
      <c r="BK794" s="6" t="s">
        <v>1459</v>
      </c>
    </row>
    <row r="795" spans="63:63">
      <c r="BK795" s="6" t="s">
        <v>1460</v>
      </c>
    </row>
    <row r="796" spans="63:63">
      <c r="BK796" s="6" t="s">
        <v>1461</v>
      </c>
    </row>
    <row r="797" spans="63:63">
      <c r="BK797" s="6" t="s">
        <v>1462</v>
      </c>
    </row>
    <row r="798" spans="63:63">
      <c r="BK798" s="6" t="s">
        <v>1463</v>
      </c>
    </row>
    <row r="799" spans="63:63">
      <c r="BK799" s="6" t="s">
        <v>1464</v>
      </c>
    </row>
    <row r="800" spans="63:63">
      <c r="BK800" s="6" t="s">
        <v>1465</v>
      </c>
    </row>
    <row r="801" spans="63:63">
      <c r="BK801" s="6" t="s">
        <v>1466</v>
      </c>
    </row>
    <row r="802" spans="63:63">
      <c r="BK802" s="6" t="s">
        <v>1467</v>
      </c>
    </row>
    <row r="803" spans="63:63">
      <c r="BK803" s="6" t="s">
        <v>1468</v>
      </c>
    </row>
    <row r="804" spans="63:63">
      <c r="BK804" s="6" t="s">
        <v>1469</v>
      </c>
    </row>
    <row r="805" spans="63:63">
      <c r="BK805" s="6" t="s">
        <v>1470</v>
      </c>
    </row>
    <row r="806" spans="63:63">
      <c r="BK806" s="6" t="s">
        <v>1471</v>
      </c>
    </row>
    <row r="807" spans="63:63">
      <c r="BK807" s="6" t="s">
        <v>1472</v>
      </c>
    </row>
    <row r="808" spans="63:63">
      <c r="BK808" s="6" t="s">
        <v>1473</v>
      </c>
    </row>
    <row r="809" spans="63:63">
      <c r="BK809" s="6" t="s">
        <v>1474</v>
      </c>
    </row>
    <row r="810" spans="63:63">
      <c r="BK810" s="6" t="s">
        <v>1475</v>
      </c>
    </row>
    <row r="811" spans="63:63">
      <c r="BK811" s="6" t="s">
        <v>1476</v>
      </c>
    </row>
    <row r="812" spans="63:63">
      <c r="BK812" s="6" t="s">
        <v>1477</v>
      </c>
    </row>
    <row r="813" spans="63:63">
      <c r="BK813" s="6" t="s">
        <v>1478</v>
      </c>
    </row>
    <row r="814" spans="63:63">
      <c r="BK814" s="6" t="s">
        <v>1479</v>
      </c>
    </row>
    <row r="815" spans="63:63">
      <c r="BK815" s="6" t="s">
        <v>1480</v>
      </c>
    </row>
    <row r="816" spans="63:63">
      <c r="BK816" s="6" t="s">
        <v>1481</v>
      </c>
    </row>
    <row r="817" spans="63:63">
      <c r="BK817" s="6" t="s">
        <v>1482</v>
      </c>
    </row>
    <row r="818" spans="63:63">
      <c r="BK818" s="6" t="s">
        <v>1483</v>
      </c>
    </row>
    <row r="819" spans="63:63">
      <c r="BK819" s="6" t="s">
        <v>1484</v>
      </c>
    </row>
    <row r="820" spans="63:63">
      <c r="BK820" s="6" t="s">
        <v>1485</v>
      </c>
    </row>
    <row r="821" spans="63:63">
      <c r="BK821" s="6" t="s">
        <v>1486</v>
      </c>
    </row>
    <row r="822" spans="63:63">
      <c r="BK822" s="6" t="s">
        <v>1487</v>
      </c>
    </row>
    <row r="823" spans="63:63">
      <c r="BK823" s="6" t="s">
        <v>1488</v>
      </c>
    </row>
    <row r="824" spans="63:63">
      <c r="BK824" s="6" t="s">
        <v>1489</v>
      </c>
    </row>
    <row r="825" spans="63:63">
      <c r="BK825" s="6" t="s">
        <v>1490</v>
      </c>
    </row>
    <row r="826" spans="63:63">
      <c r="BK826" s="6" t="s">
        <v>1491</v>
      </c>
    </row>
    <row r="827" spans="63:63">
      <c r="BK827" s="6" t="s">
        <v>1492</v>
      </c>
    </row>
    <row r="828" spans="63:63">
      <c r="BK828" s="6" t="s">
        <v>1493</v>
      </c>
    </row>
    <row r="829" spans="63:63">
      <c r="BK829" s="6" t="s">
        <v>1494</v>
      </c>
    </row>
    <row r="830" spans="63:63">
      <c r="BK830" s="6" t="s">
        <v>1495</v>
      </c>
    </row>
    <row r="831" spans="63:63">
      <c r="BK831" s="6" t="s">
        <v>1496</v>
      </c>
    </row>
    <row r="832" spans="63:63">
      <c r="BK832" s="6" t="s">
        <v>1497</v>
      </c>
    </row>
    <row r="833" spans="63:63">
      <c r="BK833" s="6" t="s">
        <v>1498</v>
      </c>
    </row>
    <row r="834" spans="63:63">
      <c r="BK834" s="6" t="s">
        <v>1499</v>
      </c>
    </row>
    <row r="835" spans="63:63">
      <c r="BK835" s="6" t="s">
        <v>1500</v>
      </c>
    </row>
    <row r="836" spans="63:63">
      <c r="BK836" s="6" t="s">
        <v>1501</v>
      </c>
    </row>
    <row r="837" spans="63:63">
      <c r="BK837" s="6" t="s">
        <v>1502</v>
      </c>
    </row>
    <row r="838" spans="63:63">
      <c r="BK838" s="6" t="s">
        <v>1503</v>
      </c>
    </row>
    <row r="839" spans="63:63">
      <c r="BK839" s="6" t="s">
        <v>1504</v>
      </c>
    </row>
    <row r="840" spans="63:63">
      <c r="BK840" s="6" t="s">
        <v>1505</v>
      </c>
    </row>
    <row r="841" spans="63:63">
      <c r="BK841" s="6" t="s">
        <v>1506</v>
      </c>
    </row>
    <row r="842" spans="63:63">
      <c r="BK842" s="6" t="s">
        <v>1507</v>
      </c>
    </row>
    <row r="843" spans="63:63">
      <c r="BK843" s="6" t="s">
        <v>1508</v>
      </c>
    </row>
    <row r="844" spans="63:63">
      <c r="BK844" s="6" t="s">
        <v>1509</v>
      </c>
    </row>
    <row r="845" spans="63:63">
      <c r="BK845" s="6" t="s">
        <v>1510</v>
      </c>
    </row>
    <row r="846" spans="63:63">
      <c r="BK846" s="6" t="s">
        <v>1511</v>
      </c>
    </row>
    <row r="847" spans="63:63">
      <c r="BK847" s="6" t="s">
        <v>1512</v>
      </c>
    </row>
    <row r="848" spans="63:63">
      <c r="BK848" s="6" t="s">
        <v>1513</v>
      </c>
    </row>
    <row r="849" spans="63:63">
      <c r="BK849" s="6" t="s">
        <v>1514</v>
      </c>
    </row>
    <row r="850" spans="63:63">
      <c r="BK850" s="6" t="s">
        <v>1515</v>
      </c>
    </row>
    <row r="851" spans="63:63">
      <c r="BK851" s="6" t="s">
        <v>1516</v>
      </c>
    </row>
    <row r="852" spans="63:63">
      <c r="BK852" s="6" t="s">
        <v>1517</v>
      </c>
    </row>
    <row r="853" spans="63:63">
      <c r="BK853" s="6" t="s">
        <v>1518</v>
      </c>
    </row>
    <row r="854" spans="63:63">
      <c r="BK854" s="6" t="s">
        <v>1519</v>
      </c>
    </row>
    <row r="855" spans="63:63">
      <c r="BK855" s="6" t="s">
        <v>1520</v>
      </c>
    </row>
    <row r="856" spans="63:63">
      <c r="BK856" s="6" t="s">
        <v>1521</v>
      </c>
    </row>
    <row r="857" spans="63:63">
      <c r="BK857" s="6" t="s">
        <v>1522</v>
      </c>
    </row>
    <row r="858" spans="63:63">
      <c r="BK858" s="6" t="s">
        <v>1523</v>
      </c>
    </row>
    <row r="859" spans="63:63">
      <c r="BK859" s="6" t="s">
        <v>1524</v>
      </c>
    </row>
    <row r="860" spans="63:63">
      <c r="BK860" s="6" t="s">
        <v>1525</v>
      </c>
    </row>
    <row r="861" spans="63:63">
      <c r="BK861" s="6" t="s">
        <v>1526</v>
      </c>
    </row>
    <row r="862" spans="63:63">
      <c r="BK862" s="6" t="s">
        <v>1527</v>
      </c>
    </row>
    <row r="863" spans="63:63">
      <c r="BK863" s="6" t="s">
        <v>1528</v>
      </c>
    </row>
    <row r="864" spans="63:63">
      <c r="BK864" s="6" t="s">
        <v>1529</v>
      </c>
    </row>
    <row r="865" spans="63:63">
      <c r="BK865" s="6" t="s">
        <v>1531</v>
      </c>
    </row>
    <row r="866" spans="63:63">
      <c r="BK866" s="6" t="s">
        <v>1530</v>
      </c>
    </row>
    <row r="867" spans="63:63">
      <c r="BK867" s="6" t="s">
        <v>1532</v>
      </c>
    </row>
    <row r="868" spans="63:63">
      <c r="BK868" s="6" t="s">
        <v>1533</v>
      </c>
    </row>
    <row r="869" spans="63:63">
      <c r="BK869" s="6" t="s">
        <v>1534</v>
      </c>
    </row>
    <row r="870" spans="63:63">
      <c r="BK870" s="6" t="s">
        <v>1535</v>
      </c>
    </row>
    <row r="871" spans="63:63">
      <c r="BK871" s="6" t="s">
        <v>1536</v>
      </c>
    </row>
    <row r="872" spans="63:63">
      <c r="BK872" s="6" t="s">
        <v>1537</v>
      </c>
    </row>
    <row r="873" spans="63:63">
      <c r="BK873" s="6" t="s">
        <v>1538</v>
      </c>
    </row>
    <row r="874" spans="63:63">
      <c r="BK874" s="6" t="s">
        <v>1539</v>
      </c>
    </row>
    <row r="875" spans="63:63">
      <c r="BK875" s="6" t="s">
        <v>1540</v>
      </c>
    </row>
    <row r="876" spans="63:63">
      <c r="BK876" s="6" t="s">
        <v>1541</v>
      </c>
    </row>
    <row r="877" spans="63:63">
      <c r="BK877" s="6" t="s">
        <v>1542</v>
      </c>
    </row>
    <row r="878" spans="63:63">
      <c r="BK878" s="6" t="s">
        <v>1543</v>
      </c>
    </row>
    <row r="879" spans="63:63">
      <c r="BK879" s="6" t="s">
        <v>1544</v>
      </c>
    </row>
    <row r="880" spans="63:63">
      <c r="BK880" s="6" t="s">
        <v>1545</v>
      </c>
    </row>
  </sheetData>
  <sortState xmlns:xlrd2="http://schemas.microsoft.com/office/spreadsheetml/2017/richdata2" ref="BK2:BK875">
    <sortCondition ref="BK2"/>
  </sortState>
  <mergeCells count="1">
    <mergeCell ref="S1:T1"/>
  </mergeCells>
  <dataValidations count="3">
    <dataValidation type="list" allowBlank="1" showInputMessage="1" showErrorMessage="1" sqref="G2:G51" xr:uid="{00000000-0002-0000-0200-000000000000}">
      <formula1>"EDU,STU,Case Management,Escalations,Product Specialist,Officer"</formula1>
    </dataValidation>
    <dataValidation type="list" allowBlank="1" showInputMessage="1" showErrorMessage="1" sqref="D3:D51" xr:uid="{00000000-0002-0000-0200-000001000000}">
      <formula1>"P1,P2,P3,P4,P5,P6,P8"</formula1>
    </dataValidation>
    <dataValidation type="list" allowBlank="1" showInputMessage="1" showErrorMessage="1" sqref="D2" xr:uid="{00000000-0002-0000-0200-000002000000}">
      <formula1>"P1,P2,P3,P4,P5,P6,P8,P9,P10"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5682"/>
  <sheetViews>
    <sheetView workbookViewId="0">
      <selection activeCell="C1" sqref="C1"/>
    </sheetView>
  </sheetViews>
  <sheetFormatPr defaultColWidth="0" defaultRowHeight="15" zeroHeight="1"/>
  <cols>
    <col min="1" max="1" width="9.42578125" style="11" bestFit="1" customWidth="1"/>
    <col min="2" max="2" width="37.7109375" style="11" bestFit="1" customWidth="1"/>
    <col min="3" max="3" width="46" style="11" bestFit="1" customWidth="1"/>
    <col min="4" max="4" width="17.5703125" style="153" bestFit="1" customWidth="1"/>
    <col min="5" max="5" width="17.5703125" style="153" customWidth="1"/>
    <col min="6" max="16384" width="9.140625" hidden="1"/>
  </cols>
  <sheetData>
    <row r="1" spans="1:5" ht="15.75" thickBot="1">
      <c r="A1" s="13" t="s">
        <v>1651</v>
      </c>
      <c r="B1" s="13" t="s">
        <v>234</v>
      </c>
      <c r="C1" s="13" t="s">
        <v>2045</v>
      </c>
      <c r="D1" s="152" t="s">
        <v>1571</v>
      </c>
      <c r="E1" s="152" t="s">
        <v>2475</v>
      </c>
    </row>
    <row r="2" spans="1:5">
      <c r="A2" s="11">
        <v>10654175</v>
      </c>
      <c r="B2" s="11" t="s">
        <v>2707</v>
      </c>
      <c r="C2" s="11" t="s">
        <v>2721</v>
      </c>
      <c r="D2" s="153">
        <v>41505</v>
      </c>
      <c r="E2" s="153" t="s">
        <v>2481</v>
      </c>
    </row>
    <row r="3" spans="1:5">
      <c r="A3" s="11">
        <v>10611069</v>
      </c>
      <c r="B3" s="11" t="s">
        <v>1799</v>
      </c>
      <c r="C3" s="11" t="s">
        <v>2046</v>
      </c>
      <c r="D3" s="153">
        <v>40700</v>
      </c>
    </row>
    <row r="4" spans="1:5">
      <c r="A4" s="11">
        <v>10707713</v>
      </c>
      <c r="B4" s="11" t="s">
        <v>2733</v>
      </c>
      <c r="C4" s="11" t="s">
        <v>2721</v>
      </c>
      <c r="D4" s="153">
        <v>42849</v>
      </c>
      <c r="E4" s="153" t="s">
        <v>2764</v>
      </c>
    </row>
    <row r="5" spans="1:5">
      <c r="A5" s="11">
        <v>10710475</v>
      </c>
      <c r="B5" s="11" t="s">
        <v>356</v>
      </c>
      <c r="C5" s="11" t="s">
        <v>2047</v>
      </c>
      <c r="D5" s="153">
        <v>42807</v>
      </c>
      <c r="E5" s="153" t="s">
        <v>2476</v>
      </c>
    </row>
    <row r="6" spans="1:5">
      <c r="A6" s="11">
        <v>10672296</v>
      </c>
      <c r="B6" s="11" t="s">
        <v>2708</v>
      </c>
      <c r="C6" s="11" t="s">
        <v>2721</v>
      </c>
      <c r="D6" s="153">
        <v>41617</v>
      </c>
      <c r="E6" s="153" t="s">
        <v>2722</v>
      </c>
    </row>
    <row r="7" spans="1:5">
      <c r="A7" s="11">
        <v>10706359</v>
      </c>
      <c r="B7" s="11" t="s">
        <v>1819</v>
      </c>
      <c r="C7" s="11" t="s">
        <v>2048</v>
      </c>
      <c r="D7" s="153">
        <v>42670</v>
      </c>
      <c r="E7" s="153" t="s">
        <v>2477</v>
      </c>
    </row>
    <row r="8" spans="1:5">
      <c r="A8" s="11">
        <v>10640678</v>
      </c>
      <c r="B8" s="11" t="s">
        <v>2734</v>
      </c>
      <c r="C8" s="11" t="s">
        <v>2721</v>
      </c>
      <c r="D8" s="153">
        <v>39818</v>
      </c>
      <c r="E8" s="153" t="s">
        <v>2764</v>
      </c>
    </row>
    <row r="9" spans="1:5">
      <c r="A9" s="11">
        <v>10686483</v>
      </c>
      <c r="B9" s="11" t="s">
        <v>2735</v>
      </c>
      <c r="C9" s="11" t="s">
        <v>2721</v>
      </c>
      <c r="D9" s="153">
        <v>42128</v>
      </c>
      <c r="E9" s="153" t="s">
        <v>2764</v>
      </c>
    </row>
    <row r="10" spans="1:5">
      <c r="A10" s="11">
        <v>10706354</v>
      </c>
      <c r="B10" s="11" t="s">
        <v>1800</v>
      </c>
      <c r="C10" s="11" t="s">
        <v>2049</v>
      </c>
      <c r="D10" s="153">
        <v>42670</v>
      </c>
      <c r="E10" s="153" t="s">
        <v>2478</v>
      </c>
    </row>
    <row r="11" spans="1:5">
      <c r="A11" s="11">
        <v>10706356</v>
      </c>
      <c r="B11" s="11" t="s">
        <v>1820</v>
      </c>
      <c r="C11" s="11" t="s">
        <v>2050</v>
      </c>
      <c r="D11" s="153">
        <v>42670</v>
      </c>
    </row>
    <row r="12" spans="1:5">
      <c r="A12" s="11">
        <v>10712450</v>
      </c>
      <c r="B12" s="11" t="s">
        <v>1946</v>
      </c>
      <c r="C12" s="11" t="s">
        <v>2051</v>
      </c>
      <c r="D12" s="153">
        <v>42863</v>
      </c>
      <c r="E12" s="153" t="s">
        <v>2479</v>
      </c>
    </row>
    <row r="13" spans="1:5">
      <c r="A13" s="11">
        <v>10670164</v>
      </c>
      <c r="B13" s="11" t="s">
        <v>340</v>
      </c>
      <c r="C13" s="11" t="s">
        <v>2052</v>
      </c>
      <c r="D13" s="153">
        <v>41463</v>
      </c>
      <c r="E13" s="153" t="s">
        <v>2480</v>
      </c>
    </row>
    <row r="14" spans="1:5">
      <c r="A14" s="11">
        <v>10698898</v>
      </c>
      <c r="B14" s="11" t="s">
        <v>1821</v>
      </c>
      <c r="C14" s="11" t="s">
        <v>2053</v>
      </c>
      <c r="D14" s="153">
        <v>42492</v>
      </c>
    </row>
    <row r="15" spans="1:5">
      <c r="A15" s="11">
        <v>10643201</v>
      </c>
      <c r="B15" s="11" t="s">
        <v>2736</v>
      </c>
      <c r="C15" s="11" t="s">
        <v>2721</v>
      </c>
      <c r="D15" s="153">
        <v>39937</v>
      </c>
      <c r="E15" s="153" t="s">
        <v>2764</v>
      </c>
    </row>
    <row r="16" spans="1:5">
      <c r="A16" s="11">
        <v>10712169</v>
      </c>
      <c r="B16" s="11" t="s">
        <v>2737</v>
      </c>
      <c r="C16" s="11" t="s">
        <v>2721</v>
      </c>
      <c r="D16" s="153">
        <v>42856</v>
      </c>
      <c r="E16" s="153" t="s">
        <v>2764</v>
      </c>
    </row>
    <row r="17" spans="1:5">
      <c r="A17" s="11">
        <v>10713780</v>
      </c>
      <c r="B17" s="11" t="s">
        <v>1948</v>
      </c>
      <c r="C17" s="11" t="s">
        <v>2056</v>
      </c>
      <c r="D17" s="153">
        <v>42905</v>
      </c>
      <c r="E17" s="153" t="s">
        <v>2487</v>
      </c>
    </row>
    <row r="18" spans="1:5">
      <c r="A18" s="11">
        <v>10705542</v>
      </c>
      <c r="B18" s="11" t="s">
        <v>1569</v>
      </c>
      <c r="C18" s="11" t="s">
        <v>2389</v>
      </c>
      <c r="D18" s="153">
        <v>42660</v>
      </c>
      <c r="E18" s="153" t="s">
        <v>2561</v>
      </c>
    </row>
    <row r="19" spans="1:5">
      <c r="A19" s="11">
        <v>10698326</v>
      </c>
      <c r="B19" s="11" t="s">
        <v>287</v>
      </c>
      <c r="C19" s="11" t="s">
        <v>2183</v>
      </c>
      <c r="D19" s="153">
        <v>42478</v>
      </c>
      <c r="E19" s="153" t="s">
        <v>2513</v>
      </c>
    </row>
    <row r="20" spans="1:5">
      <c r="A20" s="11">
        <v>10706918</v>
      </c>
      <c r="B20" s="11" t="s">
        <v>314</v>
      </c>
      <c r="C20" s="11" t="s">
        <v>2105</v>
      </c>
      <c r="D20" s="153">
        <v>42684</v>
      </c>
      <c r="E20" s="153" t="s">
        <v>2478</v>
      </c>
    </row>
    <row r="21" spans="1:5">
      <c r="A21" s="11">
        <v>10655360</v>
      </c>
      <c r="B21" s="11" t="s">
        <v>339</v>
      </c>
      <c r="C21" s="11" t="s">
        <v>2210</v>
      </c>
      <c r="D21" s="153">
        <v>40672</v>
      </c>
      <c r="E21" s="153" t="s">
        <v>2557</v>
      </c>
    </row>
    <row r="22" spans="1:5">
      <c r="A22" s="11">
        <v>10712866</v>
      </c>
      <c r="B22" s="11" t="s">
        <v>1982</v>
      </c>
      <c r="C22" s="11" t="s">
        <v>2175</v>
      </c>
      <c r="D22" s="153">
        <v>42877</v>
      </c>
      <c r="E22" s="153" t="s">
        <v>2494</v>
      </c>
    </row>
    <row r="23" spans="1:5">
      <c r="A23" s="11">
        <v>10718858</v>
      </c>
      <c r="B23" s="11" t="s">
        <v>2036</v>
      </c>
      <c r="C23" s="11" t="s">
        <v>2387</v>
      </c>
      <c r="D23" s="153">
        <v>43052</v>
      </c>
      <c r="E23" s="153" t="s">
        <v>2576</v>
      </c>
    </row>
    <row r="24" spans="1:5">
      <c r="A24" s="11">
        <v>10713786</v>
      </c>
      <c r="B24" s="11" t="s">
        <v>1950</v>
      </c>
      <c r="C24" s="11" t="s">
        <v>2058</v>
      </c>
      <c r="D24" s="153">
        <v>42905</v>
      </c>
      <c r="E24" s="153" t="s">
        <v>2489</v>
      </c>
    </row>
    <row r="25" spans="1:5">
      <c r="A25" s="11">
        <v>10706247</v>
      </c>
      <c r="B25" s="11" t="s">
        <v>1947</v>
      </c>
      <c r="C25" s="11" t="s">
        <v>2055</v>
      </c>
      <c r="D25" s="153">
        <v>42674</v>
      </c>
      <c r="E25" s="153" t="s">
        <v>2484</v>
      </c>
    </row>
    <row r="26" spans="1:5">
      <c r="A26" s="11">
        <v>10707058</v>
      </c>
      <c r="B26" s="11" t="s">
        <v>292</v>
      </c>
      <c r="C26" s="11" t="s">
        <v>2173</v>
      </c>
      <c r="D26" s="153">
        <v>42688</v>
      </c>
      <c r="E26" s="153" t="s">
        <v>2530</v>
      </c>
    </row>
    <row r="27" spans="1:5">
      <c r="A27" s="11">
        <v>10718859</v>
      </c>
      <c r="B27" s="11" t="s">
        <v>2037</v>
      </c>
      <c r="C27" s="11" t="s">
        <v>2388</v>
      </c>
      <c r="D27" s="153">
        <v>43052</v>
      </c>
      <c r="E27" s="153" t="s">
        <v>2576</v>
      </c>
    </row>
    <row r="28" spans="1:5">
      <c r="A28" s="11">
        <v>10705326</v>
      </c>
      <c r="B28" s="11" t="s">
        <v>2044</v>
      </c>
      <c r="C28" s="11" t="s">
        <v>2404</v>
      </c>
      <c r="D28" s="153">
        <v>43088</v>
      </c>
      <c r="E28" s="153" t="s">
        <v>2588</v>
      </c>
    </row>
    <row r="29" spans="1:5">
      <c r="A29" s="11">
        <v>10010439</v>
      </c>
      <c r="B29" s="11" t="s">
        <v>348</v>
      </c>
      <c r="C29" s="11" t="s">
        <v>2062</v>
      </c>
      <c r="D29" s="153">
        <v>38981</v>
      </c>
      <c r="E29" s="153" t="s">
        <v>2499</v>
      </c>
    </row>
    <row r="30" spans="1:5">
      <c r="A30" s="11">
        <v>10669245</v>
      </c>
      <c r="B30" s="11" t="s">
        <v>2709</v>
      </c>
      <c r="C30" s="11" t="s">
        <v>2063</v>
      </c>
      <c r="D30" s="153">
        <v>41435</v>
      </c>
      <c r="E30" s="153" t="s">
        <v>2500</v>
      </c>
    </row>
    <row r="31" spans="1:5">
      <c r="A31" s="11">
        <v>10669983</v>
      </c>
      <c r="B31" s="11" t="s">
        <v>336</v>
      </c>
      <c r="C31" s="11" t="s">
        <v>2064</v>
      </c>
      <c r="D31" s="153">
        <v>41449</v>
      </c>
      <c r="E31" s="153" t="s">
        <v>2501</v>
      </c>
    </row>
    <row r="32" spans="1:5">
      <c r="A32" s="11">
        <v>10684636</v>
      </c>
      <c r="B32" s="11" t="s">
        <v>329</v>
      </c>
      <c r="C32" s="11" t="s">
        <v>2065</v>
      </c>
      <c r="D32" s="153">
        <v>42086</v>
      </c>
      <c r="E32" s="153" t="s">
        <v>2503</v>
      </c>
    </row>
    <row r="33" spans="1:5">
      <c r="A33" s="11">
        <v>10685747</v>
      </c>
      <c r="B33" s="11" t="s">
        <v>331</v>
      </c>
      <c r="C33" s="11" t="s">
        <v>2067</v>
      </c>
      <c r="D33" s="153">
        <v>42121</v>
      </c>
      <c r="E33" s="153" t="s">
        <v>2504</v>
      </c>
    </row>
    <row r="34" spans="1:5">
      <c r="A34" s="11">
        <v>10693461</v>
      </c>
      <c r="B34" s="11" t="s">
        <v>327</v>
      </c>
      <c r="C34" s="11" t="s">
        <v>2068</v>
      </c>
      <c r="D34" s="153">
        <v>42352</v>
      </c>
      <c r="E34" s="153" t="s">
        <v>2505</v>
      </c>
    </row>
    <row r="35" spans="1:5">
      <c r="A35" s="11">
        <v>10693641</v>
      </c>
      <c r="B35" s="11" t="s">
        <v>259</v>
      </c>
      <c r="C35" s="11" t="s">
        <v>2069</v>
      </c>
      <c r="D35" s="153">
        <v>42359</v>
      </c>
    </row>
    <row r="36" spans="1:5">
      <c r="A36" s="11">
        <v>10007471</v>
      </c>
      <c r="B36" s="11" t="s">
        <v>343</v>
      </c>
      <c r="C36" s="11" t="s">
        <v>2070</v>
      </c>
      <c r="D36" s="153">
        <v>38812</v>
      </c>
    </row>
    <row r="37" spans="1:5">
      <c r="A37" s="11">
        <v>10688225</v>
      </c>
      <c r="B37" s="11" t="s">
        <v>1806</v>
      </c>
      <c r="C37" s="11" t="s">
        <v>2072</v>
      </c>
      <c r="D37" s="153">
        <v>42177</v>
      </c>
    </row>
    <row r="38" spans="1:5">
      <c r="A38" s="11">
        <v>10689784</v>
      </c>
      <c r="B38" s="11" t="s">
        <v>391</v>
      </c>
      <c r="C38" s="11" t="s">
        <v>2073</v>
      </c>
      <c r="D38" s="153">
        <v>42212</v>
      </c>
      <c r="E38" s="153" t="s">
        <v>2507</v>
      </c>
    </row>
    <row r="39" spans="1:5">
      <c r="A39" s="11">
        <v>10706998</v>
      </c>
      <c r="B39" s="11" t="s">
        <v>363</v>
      </c>
      <c r="C39" s="11" t="s">
        <v>2074</v>
      </c>
      <c r="D39" s="153">
        <v>42688</v>
      </c>
      <c r="E39" s="153" t="s">
        <v>2509</v>
      </c>
    </row>
    <row r="40" spans="1:5">
      <c r="A40" s="11">
        <v>10710246</v>
      </c>
      <c r="B40" s="11" t="s">
        <v>345</v>
      </c>
      <c r="C40" s="11" t="s">
        <v>2075</v>
      </c>
      <c r="D40" s="153">
        <v>42800</v>
      </c>
      <c r="E40" s="153" t="s">
        <v>2510</v>
      </c>
    </row>
    <row r="41" spans="1:5">
      <c r="A41" s="11">
        <v>10714456</v>
      </c>
      <c r="B41" s="11" t="s">
        <v>1953</v>
      </c>
      <c r="C41" s="11" t="s">
        <v>2076</v>
      </c>
      <c r="D41" s="153">
        <v>42905</v>
      </c>
      <c r="E41" s="153" t="s">
        <v>2511</v>
      </c>
    </row>
    <row r="42" spans="1:5">
      <c r="A42" s="11">
        <v>10623254</v>
      </c>
      <c r="B42" s="11" t="s">
        <v>412</v>
      </c>
      <c r="C42" s="11" t="s">
        <v>2078</v>
      </c>
      <c r="D42" s="153">
        <v>38950</v>
      </c>
      <c r="E42" s="153" t="s">
        <v>2512</v>
      </c>
    </row>
    <row r="43" spans="1:5">
      <c r="A43" s="11">
        <v>10698331</v>
      </c>
      <c r="B43" s="11" t="s">
        <v>410</v>
      </c>
      <c r="C43" s="11" t="s">
        <v>2079</v>
      </c>
      <c r="D43" s="153">
        <v>42478</v>
      </c>
      <c r="E43" s="153" t="s">
        <v>2513</v>
      </c>
    </row>
    <row r="44" spans="1:5">
      <c r="A44" s="11">
        <v>10706928</v>
      </c>
      <c r="B44" s="11" t="s">
        <v>409</v>
      </c>
      <c r="C44" s="11" t="s">
        <v>2080</v>
      </c>
      <c r="D44" s="153">
        <v>42684</v>
      </c>
      <c r="E44" s="153" t="s">
        <v>2478</v>
      </c>
    </row>
    <row r="45" spans="1:5">
      <c r="A45" s="11">
        <v>10706990</v>
      </c>
      <c r="B45" s="11" t="s">
        <v>413</v>
      </c>
      <c r="C45" s="11" t="s">
        <v>2081</v>
      </c>
      <c r="D45" s="153">
        <v>42688</v>
      </c>
      <c r="E45" s="153" t="s">
        <v>2514</v>
      </c>
    </row>
    <row r="46" spans="1:5">
      <c r="A46" s="11">
        <v>10712131</v>
      </c>
      <c r="B46" s="11" t="s">
        <v>1954</v>
      </c>
      <c r="C46" s="11" t="s">
        <v>2082</v>
      </c>
      <c r="D46" s="153">
        <v>42856</v>
      </c>
      <c r="E46" s="153" t="s">
        <v>2495</v>
      </c>
    </row>
    <row r="47" spans="1:5">
      <c r="A47" s="11">
        <v>10713088</v>
      </c>
      <c r="B47" s="11" t="s">
        <v>1960</v>
      </c>
      <c r="C47" s="11" t="s">
        <v>2122</v>
      </c>
      <c r="D47" s="153">
        <v>42891</v>
      </c>
      <c r="E47" s="153" t="s">
        <v>2538</v>
      </c>
    </row>
    <row r="48" spans="1:5">
      <c r="A48" s="11">
        <v>10714845</v>
      </c>
      <c r="B48" s="11" t="s">
        <v>1961</v>
      </c>
      <c r="C48" s="11" t="s">
        <v>2123</v>
      </c>
      <c r="D48" s="153">
        <v>42905</v>
      </c>
      <c r="E48" s="153" t="s">
        <v>2489</v>
      </c>
    </row>
    <row r="49" spans="1:5">
      <c r="A49" s="11">
        <v>10715128</v>
      </c>
      <c r="B49" s="11" t="s">
        <v>1962</v>
      </c>
      <c r="C49" s="11" t="s">
        <v>2124</v>
      </c>
      <c r="D49" s="153">
        <v>42912</v>
      </c>
      <c r="E49" s="153" t="s">
        <v>2488</v>
      </c>
    </row>
    <row r="50" spans="1:5">
      <c r="A50" s="11">
        <v>10669955</v>
      </c>
      <c r="B50" s="11" t="s">
        <v>1835</v>
      </c>
      <c r="C50" s="11" t="s">
        <v>2083</v>
      </c>
      <c r="D50" s="153">
        <v>41449</v>
      </c>
      <c r="E50" s="153" t="s">
        <v>2501</v>
      </c>
    </row>
    <row r="51" spans="1:5">
      <c r="A51" s="11">
        <v>10656779</v>
      </c>
      <c r="B51" s="11" t="s">
        <v>1834</v>
      </c>
      <c r="C51" s="11" t="s">
        <v>2084</v>
      </c>
      <c r="D51" s="153">
        <v>40728</v>
      </c>
      <c r="E51" s="153" t="s">
        <v>2515</v>
      </c>
    </row>
    <row r="52" spans="1:5">
      <c r="A52" s="11">
        <v>10669256</v>
      </c>
      <c r="B52" s="11" t="s">
        <v>333</v>
      </c>
      <c r="C52" s="11" t="s">
        <v>2085</v>
      </c>
      <c r="D52" s="153">
        <v>41435</v>
      </c>
      <c r="E52" s="153" t="s">
        <v>2500</v>
      </c>
    </row>
    <row r="53" spans="1:5">
      <c r="A53" s="11">
        <v>10035917</v>
      </c>
      <c r="B53" s="11" t="s">
        <v>279</v>
      </c>
      <c r="C53" s="11" t="s">
        <v>2086</v>
      </c>
      <c r="D53" s="153">
        <v>40924</v>
      </c>
      <c r="E53" s="153" t="s">
        <v>2517</v>
      </c>
    </row>
    <row r="54" spans="1:5">
      <c r="A54" s="11">
        <v>10684099</v>
      </c>
      <c r="B54" s="11" t="s">
        <v>1828</v>
      </c>
      <c r="C54" s="11" t="s">
        <v>2100</v>
      </c>
      <c r="D54" s="153">
        <v>42072</v>
      </c>
      <c r="E54" s="153" t="s">
        <v>2524</v>
      </c>
    </row>
    <row r="55" spans="1:5">
      <c r="A55" s="11">
        <v>10018587</v>
      </c>
      <c r="B55" s="11" t="s">
        <v>1851</v>
      </c>
      <c r="C55" s="11" t="s">
        <v>2087</v>
      </c>
      <c r="D55" s="153">
        <v>39399</v>
      </c>
      <c r="E55" s="153" t="s">
        <v>2518</v>
      </c>
    </row>
    <row r="56" spans="1:5">
      <c r="A56" s="11">
        <v>10652408</v>
      </c>
      <c r="B56" s="11" t="s">
        <v>2738</v>
      </c>
      <c r="C56" s="11" t="s">
        <v>2089</v>
      </c>
      <c r="D56" s="153">
        <v>40490</v>
      </c>
      <c r="E56" s="153" t="s">
        <v>2519</v>
      </c>
    </row>
    <row r="57" spans="1:5">
      <c r="A57" s="11">
        <v>10705324</v>
      </c>
      <c r="B57" s="11" t="s">
        <v>374</v>
      </c>
      <c r="C57" s="11" t="s">
        <v>2090</v>
      </c>
      <c r="D57" s="153">
        <v>42653</v>
      </c>
      <c r="E57" s="153" t="s">
        <v>2520</v>
      </c>
    </row>
    <row r="58" spans="1:5">
      <c r="A58" s="11">
        <v>10710739</v>
      </c>
      <c r="B58" s="11" t="s">
        <v>380</v>
      </c>
      <c r="C58" s="11" t="s">
        <v>2091</v>
      </c>
      <c r="D58" s="153">
        <v>42802</v>
      </c>
      <c r="E58" s="153" t="s">
        <v>2519</v>
      </c>
    </row>
    <row r="59" spans="1:5">
      <c r="A59" s="11">
        <v>10680319</v>
      </c>
      <c r="B59" s="11" t="s">
        <v>1798</v>
      </c>
      <c r="C59" s="11" t="s">
        <v>2092</v>
      </c>
      <c r="D59" s="153">
        <v>41927</v>
      </c>
      <c r="E59" s="153" t="s">
        <v>2521</v>
      </c>
    </row>
    <row r="60" spans="1:5">
      <c r="A60" s="11">
        <v>10705931</v>
      </c>
      <c r="B60" s="11" t="s">
        <v>2739</v>
      </c>
      <c r="C60" s="11" t="s">
        <v>2093</v>
      </c>
      <c r="D60" s="153">
        <v>42667</v>
      </c>
      <c r="E60" s="153" t="s">
        <v>2482</v>
      </c>
    </row>
    <row r="61" spans="1:5">
      <c r="A61" s="11">
        <v>10685466</v>
      </c>
      <c r="B61" s="11" t="s">
        <v>1817</v>
      </c>
      <c r="C61" s="11" t="s">
        <v>2094</v>
      </c>
      <c r="D61" s="153">
        <v>42114</v>
      </c>
    </row>
    <row r="62" spans="1:5">
      <c r="A62" s="11">
        <v>10706958</v>
      </c>
      <c r="B62" s="11" t="s">
        <v>325</v>
      </c>
      <c r="C62" s="11" t="s">
        <v>2146</v>
      </c>
      <c r="D62" s="153">
        <v>42688</v>
      </c>
      <c r="E62" s="153" t="s">
        <v>2522</v>
      </c>
    </row>
    <row r="63" spans="1:5">
      <c r="A63" s="11">
        <v>10706140</v>
      </c>
      <c r="B63" s="11" t="s">
        <v>1956</v>
      </c>
      <c r="C63" s="11" t="s">
        <v>2098</v>
      </c>
      <c r="D63" s="153">
        <v>42674</v>
      </c>
      <c r="E63" s="153" t="s">
        <v>2523</v>
      </c>
    </row>
    <row r="64" spans="1:5">
      <c r="A64" s="11">
        <v>10712691</v>
      </c>
      <c r="B64" s="11" t="s">
        <v>1957</v>
      </c>
      <c r="C64" s="11" t="s">
        <v>2099</v>
      </c>
      <c r="D64" s="153">
        <v>42877</v>
      </c>
      <c r="E64" s="153" t="s">
        <v>2494</v>
      </c>
    </row>
    <row r="65" spans="1:5">
      <c r="A65" s="11">
        <v>10700768</v>
      </c>
      <c r="B65" s="11" t="s">
        <v>387</v>
      </c>
      <c r="C65" s="11" t="s">
        <v>2096</v>
      </c>
      <c r="D65" s="153">
        <v>42541</v>
      </c>
      <c r="E65" s="153" t="s">
        <v>2513</v>
      </c>
    </row>
    <row r="66" spans="1:5">
      <c r="A66" s="11">
        <v>10698889</v>
      </c>
      <c r="B66" s="11" t="s">
        <v>1826</v>
      </c>
      <c r="C66" s="11" t="s">
        <v>2097</v>
      </c>
      <c r="D66" s="153">
        <v>42492</v>
      </c>
      <c r="E66" s="153" t="s">
        <v>2490</v>
      </c>
    </row>
    <row r="67" spans="1:5">
      <c r="A67" s="11">
        <v>10669980</v>
      </c>
      <c r="B67" s="11" t="s">
        <v>285</v>
      </c>
      <c r="C67" s="11" t="s">
        <v>2211</v>
      </c>
      <c r="D67" s="153">
        <v>41449</v>
      </c>
    </row>
    <row r="68" spans="1:5">
      <c r="A68" s="11">
        <v>10663463</v>
      </c>
      <c r="B68" s="11" t="s">
        <v>1836</v>
      </c>
      <c r="C68" s="11" t="s">
        <v>2117</v>
      </c>
      <c r="D68" s="153">
        <v>41106</v>
      </c>
      <c r="E68" s="153" t="s">
        <v>2535</v>
      </c>
    </row>
    <row r="69" spans="1:5">
      <c r="A69" s="11">
        <v>10670239</v>
      </c>
      <c r="B69" s="11" t="s">
        <v>1832</v>
      </c>
      <c r="C69" s="11" t="s">
        <v>2106</v>
      </c>
      <c r="D69" s="153">
        <v>41470</v>
      </c>
      <c r="E69" s="153" t="s">
        <v>2481</v>
      </c>
    </row>
    <row r="70" spans="1:5">
      <c r="A70" s="11">
        <v>10707310</v>
      </c>
      <c r="B70" s="11" t="s">
        <v>2740</v>
      </c>
      <c r="C70" s="11" t="s">
        <v>2101</v>
      </c>
      <c r="D70" s="153">
        <v>42688</v>
      </c>
      <c r="E70" s="153" t="s">
        <v>2525</v>
      </c>
    </row>
    <row r="71" spans="1:5">
      <c r="A71" s="11">
        <v>10706009</v>
      </c>
      <c r="B71" s="11" t="s">
        <v>394</v>
      </c>
      <c r="C71" s="11" t="s">
        <v>2102</v>
      </c>
      <c r="D71" s="153">
        <v>42667</v>
      </c>
      <c r="E71" s="153" t="s">
        <v>2526</v>
      </c>
    </row>
    <row r="72" spans="1:5">
      <c r="A72" s="11">
        <v>10707247</v>
      </c>
      <c r="B72" s="11" t="s">
        <v>2741</v>
      </c>
      <c r="C72" s="11" t="s">
        <v>2103</v>
      </c>
      <c r="D72" s="153">
        <v>42688</v>
      </c>
      <c r="E72" s="153" t="s">
        <v>2491</v>
      </c>
    </row>
    <row r="73" spans="1:5">
      <c r="A73" s="11">
        <v>10700774</v>
      </c>
      <c r="B73" s="11" t="s">
        <v>295</v>
      </c>
      <c r="C73" s="11" t="s">
        <v>2109</v>
      </c>
      <c r="D73" s="153">
        <v>42541</v>
      </c>
      <c r="E73" s="153" t="s">
        <v>2513</v>
      </c>
    </row>
    <row r="74" spans="1:5">
      <c r="A74" s="11">
        <v>10711835</v>
      </c>
      <c r="B74" s="11" t="s">
        <v>1958</v>
      </c>
      <c r="C74" s="11" t="s">
        <v>2104</v>
      </c>
      <c r="D74" s="153">
        <v>42849</v>
      </c>
      <c r="E74" s="153" t="s">
        <v>2527</v>
      </c>
    </row>
    <row r="75" spans="1:5">
      <c r="A75" s="11">
        <v>10669651</v>
      </c>
      <c r="B75" s="11" t="s">
        <v>278</v>
      </c>
      <c r="C75" s="11" t="s">
        <v>2112</v>
      </c>
      <c r="D75" s="153">
        <v>41442</v>
      </c>
    </row>
    <row r="76" spans="1:5">
      <c r="A76" s="11">
        <v>10707409</v>
      </c>
      <c r="B76" s="11" t="s">
        <v>2742</v>
      </c>
      <c r="C76" s="11" t="s">
        <v>2113</v>
      </c>
      <c r="D76" s="153">
        <v>42688</v>
      </c>
      <c r="E76" s="153" t="s">
        <v>2525</v>
      </c>
    </row>
    <row r="77" spans="1:5">
      <c r="A77" s="11">
        <v>10711919</v>
      </c>
      <c r="B77" s="11" t="s">
        <v>338</v>
      </c>
      <c r="C77" s="11" t="s">
        <v>2107</v>
      </c>
      <c r="D77" s="153">
        <v>42856</v>
      </c>
      <c r="E77" s="153" t="s">
        <v>2526</v>
      </c>
    </row>
    <row r="78" spans="1:5">
      <c r="A78" s="11">
        <v>10004895</v>
      </c>
      <c r="B78" s="11" t="s">
        <v>1955</v>
      </c>
      <c r="C78" s="11" t="s">
        <v>2088</v>
      </c>
      <c r="D78" s="153">
        <v>38589</v>
      </c>
    </row>
    <row r="79" spans="1:5">
      <c r="A79" s="11">
        <v>10698900</v>
      </c>
      <c r="B79" s="11" t="s">
        <v>309</v>
      </c>
      <c r="C79" s="11" t="s">
        <v>2119</v>
      </c>
      <c r="D79" s="153">
        <v>42492</v>
      </c>
      <c r="E79" s="153" t="s">
        <v>2513</v>
      </c>
    </row>
    <row r="80" spans="1:5">
      <c r="A80" s="11">
        <v>10708363</v>
      </c>
      <c r="B80" s="11" t="s">
        <v>392</v>
      </c>
      <c r="C80" s="11" t="s">
        <v>2108</v>
      </c>
      <c r="D80" s="153">
        <v>42737</v>
      </c>
      <c r="E80" s="153" t="s">
        <v>2530</v>
      </c>
    </row>
    <row r="81" spans="1:5">
      <c r="A81" s="11">
        <v>10713239</v>
      </c>
      <c r="B81" s="11" t="s">
        <v>2043</v>
      </c>
      <c r="C81" s="11" t="s">
        <v>2403</v>
      </c>
      <c r="D81" s="153">
        <v>43088</v>
      </c>
      <c r="E81" s="153" t="s">
        <v>2587</v>
      </c>
    </row>
    <row r="82" spans="1:5">
      <c r="A82" s="11">
        <v>10712989</v>
      </c>
      <c r="B82" s="11" t="s">
        <v>1970</v>
      </c>
      <c r="C82" s="11" t="s">
        <v>2147</v>
      </c>
      <c r="D82" s="153">
        <v>42877</v>
      </c>
      <c r="E82" s="153" t="s">
        <v>2545</v>
      </c>
    </row>
    <row r="83" spans="1:5">
      <c r="A83" s="11">
        <v>10706327</v>
      </c>
      <c r="B83" s="11" t="s">
        <v>376</v>
      </c>
      <c r="C83" s="11" t="s">
        <v>2130</v>
      </c>
      <c r="D83" s="153">
        <v>42674</v>
      </c>
      <c r="E83" s="153" t="s">
        <v>2542</v>
      </c>
    </row>
    <row r="84" spans="1:5">
      <c r="A84" s="11">
        <v>10685204</v>
      </c>
      <c r="B84" s="11" t="s">
        <v>300</v>
      </c>
      <c r="C84" s="11" t="s">
        <v>2372</v>
      </c>
      <c r="D84" s="153">
        <v>42107</v>
      </c>
      <c r="E84" s="153" t="s">
        <v>2516</v>
      </c>
    </row>
    <row r="85" spans="1:5">
      <c r="A85" s="11">
        <v>10713530</v>
      </c>
      <c r="B85" s="11" t="s">
        <v>1971</v>
      </c>
      <c r="C85" s="11" t="s">
        <v>2148</v>
      </c>
      <c r="D85" s="153">
        <v>42898</v>
      </c>
      <c r="E85" s="153" t="s">
        <v>2546</v>
      </c>
    </row>
    <row r="86" spans="1:5">
      <c r="A86" s="11">
        <v>10037086</v>
      </c>
      <c r="B86" s="11" t="s">
        <v>370</v>
      </c>
      <c r="C86" s="11" t="s">
        <v>2071</v>
      </c>
      <c r="D86" s="153">
        <v>41127</v>
      </c>
      <c r="E86" s="153" t="s">
        <v>2506</v>
      </c>
    </row>
    <row r="87" spans="1:5">
      <c r="A87" s="11">
        <v>10712870</v>
      </c>
      <c r="B87" s="11" t="s">
        <v>1976</v>
      </c>
      <c r="C87" s="11" t="s">
        <v>2160</v>
      </c>
      <c r="D87" s="153">
        <v>42877</v>
      </c>
      <c r="E87" s="153" t="s">
        <v>2545</v>
      </c>
    </row>
    <row r="88" spans="1:5">
      <c r="A88" s="11">
        <v>10711200</v>
      </c>
      <c r="B88" s="11" t="s">
        <v>359</v>
      </c>
      <c r="C88" s="11" t="s">
        <v>2125</v>
      </c>
      <c r="D88" s="153">
        <v>42835</v>
      </c>
      <c r="E88" s="153" t="s">
        <v>2539</v>
      </c>
    </row>
    <row r="89" spans="1:5">
      <c r="A89" s="11">
        <v>10711329</v>
      </c>
      <c r="B89" s="11" t="s">
        <v>310</v>
      </c>
      <c r="C89" s="11" t="s">
        <v>2126</v>
      </c>
      <c r="D89" s="153">
        <v>42835</v>
      </c>
      <c r="E89" s="153" t="s">
        <v>2509</v>
      </c>
    </row>
    <row r="90" spans="1:5">
      <c r="A90" s="11">
        <v>10713699</v>
      </c>
      <c r="B90" s="11" t="s">
        <v>1963</v>
      </c>
      <c r="C90" s="11" t="s">
        <v>2127</v>
      </c>
      <c r="D90" s="153">
        <v>42898</v>
      </c>
      <c r="E90" s="153" t="s">
        <v>2540</v>
      </c>
    </row>
    <row r="91" spans="1:5">
      <c r="A91" s="11">
        <v>10712719</v>
      </c>
      <c r="B91" s="11" t="s">
        <v>1967</v>
      </c>
      <c r="C91" s="11" t="s">
        <v>2133</v>
      </c>
      <c r="D91" s="153">
        <v>42877</v>
      </c>
      <c r="E91" s="153" t="s">
        <v>2494</v>
      </c>
    </row>
    <row r="92" spans="1:5">
      <c r="A92" s="11">
        <v>10711870</v>
      </c>
      <c r="B92" s="11" t="s">
        <v>1964</v>
      </c>
      <c r="C92" s="11" t="s">
        <v>2128</v>
      </c>
      <c r="D92" s="153">
        <v>42849</v>
      </c>
      <c r="E92" s="153" t="s">
        <v>2541</v>
      </c>
    </row>
    <row r="93" spans="1:5">
      <c r="A93" s="11">
        <v>10714809</v>
      </c>
      <c r="B93" s="11" t="s">
        <v>1968</v>
      </c>
      <c r="C93" s="11" t="s">
        <v>2134</v>
      </c>
      <c r="D93" s="153">
        <v>42905</v>
      </c>
      <c r="E93" s="153" t="s">
        <v>2534</v>
      </c>
    </row>
    <row r="94" spans="1:5">
      <c r="A94" s="11">
        <v>10710525</v>
      </c>
      <c r="B94" s="11" t="s">
        <v>1833</v>
      </c>
      <c r="C94" s="11" t="s">
        <v>2161</v>
      </c>
      <c r="D94" s="153">
        <v>42814</v>
      </c>
      <c r="E94" s="153" t="s">
        <v>2528</v>
      </c>
    </row>
    <row r="95" spans="1:5">
      <c r="A95" s="11">
        <v>10038826</v>
      </c>
      <c r="B95" s="11" t="s">
        <v>330</v>
      </c>
      <c r="C95" s="11" t="s">
        <v>2135</v>
      </c>
      <c r="D95" s="153">
        <v>41407</v>
      </c>
      <c r="E95" s="153" t="s">
        <v>2499</v>
      </c>
    </row>
    <row r="96" spans="1:5">
      <c r="A96" s="11">
        <v>10669290</v>
      </c>
      <c r="B96" s="11" t="s">
        <v>236</v>
      </c>
      <c r="C96" s="11" t="s">
        <v>2136</v>
      </c>
      <c r="D96" s="153">
        <v>41435</v>
      </c>
      <c r="E96" s="153" t="s">
        <v>2500</v>
      </c>
    </row>
    <row r="97" spans="1:5">
      <c r="A97" s="11">
        <v>10670177</v>
      </c>
      <c r="B97" s="11" t="s">
        <v>283</v>
      </c>
      <c r="C97" s="11" t="s">
        <v>2138</v>
      </c>
      <c r="D97" s="153">
        <v>41463</v>
      </c>
      <c r="E97" s="153" t="s">
        <v>2480</v>
      </c>
    </row>
    <row r="98" spans="1:5">
      <c r="A98" s="11">
        <v>10706379</v>
      </c>
      <c r="B98" s="11" t="s">
        <v>360</v>
      </c>
      <c r="C98" s="11" t="s">
        <v>2142</v>
      </c>
      <c r="D98" s="153">
        <v>42675</v>
      </c>
      <c r="E98" s="153" t="s">
        <v>2539</v>
      </c>
    </row>
    <row r="99" spans="1:5">
      <c r="A99" s="11">
        <v>10706383</v>
      </c>
      <c r="B99" s="11" t="s">
        <v>368</v>
      </c>
      <c r="C99" s="11" t="s">
        <v>2143</v>
      </c>
      <c r="D99" s="153">
        <v>42675</v>
      </c>
      <c r="E99" s="153" t="s">
        <v>2543</v>
      </c>
    </row>
    <row r="100" spans="1:5">
      <c r="A100" s="11">
        <v>10711920</v>
      </c>
      <c r="B100" s="11" t="s">
        <v>334</v>
      </c>
      <c r="C100" s="11" t="s">
        <v>2145</v>
      </c>
      <c r="D100" s="153">
        <v>42856</v>
      </c>
      <c r="E100" s="153" t="s">
        <v>2544</v>
      </c>
    </row>
    <row r="101" spans="1:5">
      <c r="A101" s="11">
        <v>10670233</v>
      </c>
      <c r="B101" s="11" t="s">
        <v>335</v>
      </c>
      <c r="C101" s="11" t="s">
        <v>2077</v>
      </c>
      <c r="D101" s="153">
        <v>43088</v>
      </c>
      <c r="E101" s="153" t="s">
        <v>2502</v>
      </c>
    </row>
    <row r="102" spans="1:5">
      <c r="A102" s="11">
        <v>10713824</v>
      </c>
      <c r="B102" s="11" t="s">
        <v>1977</v>
      </c>
      <c r="C102" s="11" t="s">
        <v>2162</v>
      </c>
      <c r="D102" s="153">
        <v>42898</v>
      </c>
      <c r="E102" s="153" t="s">
        <v>2550</v>
      </c>
    </row>
    <row r="103" spans="1:5">
      <c r="A103" s="11">
        <v>10710477</v>
      </c>
      <c r="B103" s="11" t="s">
        <v>388</v>
      </c>
      <c r="C103" s="11" t="s">
        <v>2129</v>
      </c>
      <c r="D103" s="153">
        <v>42807</v>
      </c>
      <c r="E103" s="153" t="s">
        <v>2530</v>
      </c>
    </row>
    <row r="104" spans="1:5">
      <c r="A104" s="11">
        <v>10711846</v>
      </c>
      <c r="B104" s="11" t="s">
        <v>1965</v>
      </c>
      <c r="C104" s="11" t="s">
        <v>2131</v>
      </c>
      <c r="D104" s="153">
        <v>42849</v>
      </c>
      <c r="E104" s="153" t="s">
        <v>2541</v>
      </c>
    </row>
    <row r="105" spans="1:5">
      <c r="A105" s="11">
        <v>10706543</v>
      </c>
      <c r="B105" s="11" t="s">
        <v>397</v>
      </c>
      <c r="C105" s="11" t="s">
        <v>2149</v>
      </c>
      <c r="D105" s="153">
        <v>42678</v>
      </c>
      <c r="E105" s="153" t="s">
        <v>2548</v>
      </c>
    </row>
    <row r="106" spans="1:5">
      <c r="A106" s="11">
        <v>10712378</v>
      </c>
      <c r="B106" s="11" t="s">
        <v>1973</v>
      </c>
      <c r="C106" s="11" t="s">
        <v>2151</v>
      </c>
      <c r="D106" s="153">
        <v>42863</v>
      </c>
      <c r="E106" s="153" t="s">
        <v>2479</v>
      </c>
    </row>
    <row r="107" spans="1:5">
      <c r="A107" s="11">
        <v>10711971</v>
      </c>
      <c r="B107" s="11" t="s">
        <v>1978</v>
      </c>
      <c r="C107" s="11" t="s">
        <v>2163</v>
      </c>
      <c r="D107" s="153">
        <v>42856</v>
      </c>
      <c r="E107" s="153" t="s">
        <v>2547</v>
      </c>
    </row>
    <row r="108" spans="1:5">
      <c r="A108" s="11">
        <v>10712111</v>
      </c>
      <c r="B108" s="11" t="s">
        <v>1966</v>
      </c>
      <c r="C108" s="11" t="s">
        <v>2132</v>
      </c>
      <c r="D108" s="153">
        <v>42856</v>
      </c>
      <c r="E108" s="153" t="s">
        <v>2495</v>
      </c>
    </row>
    <row r="109" spans="1:5">
      <c r="A109" s="11">
        <v>10714830</v>
      </c>
      <c r="B109" s="11" t="s">
        <v>1969</v>
      </c>
      <c r="C109" s="11" t="s">
        <v>2137</v>
      </c>
      <c r="D109" s="153">
        <v>43088</v>
      </c>
      <c r="E109" s="153" t="s">
        <v>2502</v>
      </c>
    </row>
    <row r="110" spans="1:5">
      <c r="A110" s="11">
        <v>10709152</v>
      </c>
      <c r="B110" s="11" t="s">
        <v>1972</v>
      </c>
      <c r="C110" s="11" t="s">
        <v>2150</v>
      </c>
      <c r="D110" s="153">
        <v>42765</v>
      </c>
      <c r="E110" s="153" t="s">
        <v>2541</v>
      </c>
    </row>
    <row r="111" spans="1:5">
      <c r="A111" s="11">
        <v>10669588</v>
      </c>
      <c r="B111" s="11" t="s">
        <v>332</v>
      </c>
      <c r="C111" s="11" t="s">
        <v>2140</v>
      </c>
      <c r="D111" s="153">
        <v>43088</v>
      </c>
      <c r="E111" s="153" t="s">
        <v>2502</v>
      </c>
    </row>
    <row r="112" spans="1:5">
      <c r="A112" s="11">
        <v>10711199</v>
      </c>
      <c r="B112" s="11" t="s">
        <v>344</v>
      </c>
      <c r="C112" s="11" t="s">
        <v>2139</v>
      </c>
      <c r="D112" s="153">
        <v>43088</v>
      </c>
      <c r="E112" s="153" t="s">
        <v>2502</v>
      </c>
    </row>
    <row r="113" spans="1:5">
      <c r="A113" s="11">
        <v>10706515</v>
      </c>
      <c r="B113" s="11" t="s">
        <v>398</v>
      </c>
      <c r="C113" s="11" t="s">
        <v>2154</v>
      </c>
      <c r="D113" s="153">
        <v>42678</v>
      </c>
      <c r="E113" s="153" t="s">
        <v>2551</v>
      </c>
    </row>
    <row r="114" spans="1:5">
      <c r="A114" s="11">
        <v>10706523</v>
      </c>
      <c r="B114" s="11" t="s">
        <v>396</v>
      </c>
      <c r="C114" s="11" t="s">
        <v>2155</v>
      </c>
      <c r="D114" s="153">
        <v>42678</v>
      </c>
      <c r="E114" s="153" t="s">
        <v>2522</v>
      </c>
    </row>
    <row r="115" spans="1:5">
      <c r="A115" s="11">
        <v>10706991</v>
      </c>
      <c r="B115" s="11" t="s">
        <v>403</v>
      </c>
      <c r="C115" s="11" t="s">
        <v>2156</v>
      </c>
      <c r="D115" s="153">
        <v>42688</v>
      </c>
      <c r="E115" s="153" t="s">
        <v>2548</v>
      </c>
    </row>
    <row r="116" spans="1:5">
      <c r="A116" s="11">
        <v>10706995</v>
      </c>
      <c r="B116" s="11" t="s">
        <v>400</v>
      </c>
      <c r="C116" s="11" t="s">
        <v>2157</v>
      </c>
      <c r="D116" s="153">
        <v>42688</v>
      </c>
      <c r="E116" s="153" t="s">
        <v>2522</v>
      </c>
    </row>
    <row r="117" spans="1:5">
      <c r="A117" s="11">
        <v>10706994</v>
      </c>
      <c r="B117" s="11" t="s">
        <v>401</v>
      </c>
      <c r="C117" s="11" t="s">
        <v>2158</v>
      </c>
      <c r="D117" s="153">
        <v>42688</v>
      </c>
      <c r="E117" s="153" t="s">
        <v>2551</v>
      </c>
    </row>
    <row r="118" spans="1:5">
      <c r="A118" s="11">
        <v>10711038</v>
      </c>
      <c r="B118" s="11" t="s">
        <v>393</v>
      </c>
      <c r="C118" s="11" t="s">
        <v>2159</v>
      </c>
      <c r="D118" s="153">
        <v>42828</v>
      </c>
      <c r="E118" s="153" t="s">
        <v>2508</v>
      </c>
    </row>
    <row r="119" spans="1:5">
      <c r="A119" s="11">
        <v>10693668</v>
      </c>
      <c r="B119" s="11" t="s">
        <v>355</v>
      </c>
      <c r="C119" s="11" t="s">
        <v>2141</v>
      </c>
      <c r="D119" s="153">
        <v>43088</v>
      </c>
      <c r="E119" s="153" t="s">
        <v>2502</v>
      </c>
    </row>
    <row r="120" spans="1:5">
      <c r="A120" s="11">
        <v>10714921</v>
      </c>
      <c r="B120" s="11" t="s">
        <v>1974</v>
      </c>
      <c r="C120" s="11" t="s">
        <v>2152</v>
      </c>
      <c r="D120" s="153">
        <v>42905</v>
      </c>
      <c r="E120" s="153" t="s">
        <v>2549</v>
      </c>
    </row>
    <row r="121" spans="1:5">
      <c r="A121" s="11">
        <v>10711977</v>
      </c>
      <c r="B121" s="11" t="s">
        <v>1979</v>
      </c>
      <c r="C121" s="11" t="s">
        <v>2164</v>
      </c>
      <c r="D121" s="153">
        <v>42856</v>
      </c>
      <c r="E121" s="153" t="s">
        <v>2547</v>
      </c>
    </row>
    <row r="122" spans="1:5">
      <c r="A122" s="11">
        <v>10674965</v>
      </c>
      <c r="B122" s="11" t="s">
        <v>337</v>
      </c>
      <c r="C122" s="11" t="s">
        <v>2144</v>
      </c>
      <c r="D122" s="153">
        <v>43088</v>
      </c>
      <c r="E122" s="153" t="s">
        <v>2502</v>
      </c>
    </row>
    <row r="123" spans="1:5">
      <c r="A123" s="11">
        <v>10706831</v>
      </c>
      <c r="B123" s="11" t="s">
        <v>1980</v>
      </c>
      <c r="C123" s="11" t="s">
        <v>2165</v>
      </c>
      <c r="D123" s="153">
        <v>42681</v>
      </c>
      <c r="E123" s="153" t="s">
        <v>2552</v>
      </c>
    </row>
    <row r="124" spans="1:5">
      <c r="A124" s="11">
        <v>10711760</v>
      </c>
      <c r="B124" s="11" t="s">
        <v>1975</v>
      </c>
      <c r="C124" s="11" t="s">
        <v>2153</v>
      </c>
      <c r="D124" s="153">
        <v>42849</v>
      </c>
      <c r="E124" s="153" t="s">
        <v>2541</v>
      </c>
    </row>
    <row r="125" spans="1:5">
      <c r="A125" s="11">
        <v>10711039</v>
      </c>
      <c r="B125" s="11" t="s">
        <v>294</v>
      </c>
      <c r="C125" s="11" t="s">
        <v>2095</v>
      </c>
      <c r="D125" s="153">
        <v>42828</v>
      </c>
      <c r="E125" s="153" t="s">
        <v>2522</v>
      </c>
    </row>
    <row r="126" spans="1:5">
      <c r="A126" s="11">
        <v>10039883</v>
      </c>
      <c r="B126" s="11" t="s">
        <v>289</v>
      </c>
      <c r="C126" s="11" t="s">
        <v>2166</v>
      </c>
      <c r="D126" s="153">
        <v>41533</v>
      </c>
      <c r="E126" s="153" t="s">
        <v>2499</v>
      </c>
    </row>
    <row r="127" spans="1:5">
      <c r="A127" s="11">
        <v>10706925</v>
      </c>
      <c r="B127" s="11" t="s">
        <v>350</v>
      </c>
      <c r="C127" s="11" t="s">
        <v>2167</v>
      </c>
      <c r="D127" s="153">
        <v>42681</v>
      </c>
      <c r="E127" s="153" t="s">
        <v>2529</v>
      </c>
    </row>
    <row r="128" spans="1:5">
      <c r="A128" s="11">
        <v>10706931</v>
      </c>
      <c r="B128" s="11" t="s">
        <v>347</v>
      </c>
      <c r="C128" s="11" t="s">
        <v>2168</v>
      </c>
      <c r="D128" s="153">
        <v>42684</v>
      </c>
      <c r="E128" s="153" t="s">
        <v>2543</v>
      </c>
    </row>
    <row r="129" spans="1:5">
      <c r="A129" s="11">
        <v>10706930</v>
      </c>
      <c r="B129" s="11" t="s">
        <v>2743</v>
      </c>
      <c r="C129" s="11" t="s">
        <v>2169</v>
      </c>
      <c r="D129" s="153">
        <v>42684</v>
      </c>
      <c r="E129" s="153" t="s">
        <v>2543</v>
      </c>
    </row>
    <row r="130" spans="1:5">
      <c r="A130" s="11">
        <v>10713028</v>
      </c>
      <c r="B130" s="11" t="s">
        <v>1983</v>
      </c>
      <c r="C130" s="11" t="s">
        <v>2176</v>
      </c>
      <c r="D130" s="153">
        <v>42877</v>
      </c>
      <c r="E130" s="153" t="s">
        <v>2494</v>
      </c>
    </row>
    <row r="131" spans="1:5">
      <c r="A131" s="11">
        <v>10711952</v>
      </c>
      <c r="B131" s="11" t="s">
        <v>1981</v>
      </c>
      <c r="C131" s="11" t="s">
        <v>2174</v>
      </c>
      <c r="D131" s="153">
        <v>42856</v>
      </c>
      <c r="E131" s="153" t="s">
        <v>2547</v>
      </c>
    </row>
    <row r="132" spans="1:5">
      <c r="A132" s="11">
        <v>10701564</v>
      </c>
      <c r="B132" s="11" t="s">
        <v>293</v>
      </c>
      <c r="C132" s="11" t="s">
        <v>2172</v>
      </c>
      <c r="D132" s="153">
        <v>42555</v>
      </c>
      <c r="E132" s="153" t="s">
        <v>2490</v>
      </c>
    </row>
    <row r="133" spans="1:5">
      <c r="A133" s="11">
        <v>10714470</v>
      </c>
      <c r="B133" s="11" t="s">
        <v>1984</v>
      </c>
      <c r="C133" s="11" t="s">
        <v>2177</v>
      </c>
      <c r="D133" s="153">
        <v>42905</v>
      </c>
      <c r="E133" s="153" t="s">
        <v>2489</v>
      </c>
    </row>
    <row r="134" spans="1:5">
      <c r="A134" s="11">
        <v>10706370</v>
      </c>
      <c r="B134" s="11" t="s">
        <v>371</v>
      </c>
      <c r="C134" s="11" t="s">
        <v>2178</v>
      </c>
      <c r="D134" s="153">
        <v>42675</v>
      </c>
      <c r="E134" s="153" t="s">
        <v>2508</v>
      </c>
    </row>
    <row r="135" spans="1:5">
      <c r="A135" s="11">
        <v>10713964</v>
      </c>
      <c r="B135" s="11" t="s">
        <v>1949</v>
      </c>
      <c r="C135" s="11" t="s">
        <v>2057</v>
      </c>
      <c r="D135" s="153">
        <v>42905</v>
      </c>
      <c r="E135" s="153" t="s">
        <v>2489</v>
      </c>
    </row>
    <row r="136" spans="1:5">
      <c r="A136" s="11">
        <v>10685331</v>
      </c>
      <c r="B136" s="11" t="s">
        <v>358</v>
      </c>
      <c r="C136" s="11" t="s">
        <v>2179</v>
      </c>
      <c r="D136" s="153">
        <v>42107</v>
      </c>
      <c r="E136" s="153" t="s">
        <v>2507</v>
      </c>
    </row>
    <row r="137" spans="1:5">
      <c r="A137" s="11">
        <v>10706832</v>
      </c>
      <c r="B137" s="11" t="s">
        <v>2012</v>
      </c>
      <c r="C137" s="11" t="s">
        <v>2295</v>
      </c>
      <c r="D137" s="153">
        <v>42681</v>
      </c>
      <c r="E137" s="153" t="s">
        <v>2552</v>
      </c>
    </row>
    <row r="138" spans="1:5">
      <c r="A138" s="11">
        <v>10708378</v>
      </c>
      <c r="B138" s="11" t="s">
        <v>1827</v>
      </c>
      <c r="C138" s="11" t="s">
        <v>2059</v>
      </c>
      <c r="D138" s="153">
        <v>42737</v>
      </c>
      <c r="E138" s="153" t="s">
        <v>2476</v>
      </c>
    </row>
    <row r="139" spans="1:5">
      <c r="A139" s="11">
        <v>10709687</v>
      </c>
      <c r="B139" s="11" t="s">
        <v>1985</v>
      </c>
      <c r="C139" s="11" t="s">
        <v>2184</v>
      </c>
      <c r="D139" s="153">
        <v>42779</v>
      </c>
      <c r="E139" s="153" t="s">
        <v>2548</v>
      </c>
    </row>
    <row r="140" spans="1:5">
      <c r="A140" s="11">
        <v>10669261</v>
      </c>
      <c r="B140" s="11" t="s">
        <v>281</v>
      </c>
      <c r="C140" s="11" t="s">
        <v>2185</v>
      </c>
      <c r="D140" s="153">
        <v>41435</v>
      </c>
      <c r="E140" s="153" t="s">
        <v>2500</v>
      </c>
    </row>
    <row r="141" spans="1:5">
      <c r="A141" s="11">
        <v>10670537</v>
      </c>
      <c r="B141" s="11" t="s">
        <v>277</v>
      </c>
      <c r="C141" s="11" t="s">
        <v>2186</v>
      </c>
      <c r="D141" s="153">
        <v>41484</v>
      </c>
      <c r="E141" s="153" t="s">
        <v>2554</v>
      </c>
    </row>
    <row r="142" spans="1:5">
      <c r="A142" s="11">
        <v>10698891</v>
      </c>
      <c r="B142" s="11" t="s">
        <v>1818</v>
      </c>
      <c r="C142" s="11" t="s">
        <v>2187</v>
      </c>
      <c r="D142" s="153">
        <v>42492</v>
      </c>
      <c r="E142" s="153" t="s">
        <v>2513</v>
      </c>
    </row>
    <row r="143" spans="1:5">
      <c r="A143" s="11">
        <v>10710470</v>
      </c>
      <c r="B143" s="11" t="s">
        <v>315</v>
      </c>
      <c r="C143" s="11" t="s">
        <v>2188</v>
      </c>
      <c r="D143" s="153">
        <v>42807</v>
      </c>
      <c r="E143" s="153" t="s">
        <v>2478</v>
      </c>
    </row>
    <row r="144" spans="1:5">
      <c r="A144" s="11">
        <v>10018455</v>
      </c>
      <c r="B144" s="11" t="s">
        <v>288</v>
      </c>
      <c r="C144" s="11" t="s">
        <v>2189</v>
      </c>
      <c r="D144" s="153">
        <v>39394</v>
      </c>
      <c r="E144" s="153" t="s">
        <v>2517</v>
      </c>
    </row>
    <row r="145" spans="1:5">
      <c r="A145" s="11">
        <v>10669949</v>
      </c>
      <c r="B145" s="11" t="s">
        <v>284</v>
      </c>
      <c r="C145" s="11" t="s">
        <v>2190</v>
      </c>
      <c r="D145" s="153">
        <v>41449</v>
      </c>
      <c r="E145" s="153" t="s">
        <v>2501</v>
      </c>
    </row>
    <row r="146" spans="1:5">
      <c r="A146" s="11">
        <v>10688133</v>
      </c>
      <c r="B146" s="11" t="s">
        <v>280</v>
      </c>
      <c r="C146" s="11" t="s">
        <v>2191</v>
      </c>
      <c r="D146" s="153">
        <v>42170</v>
      </c>
      <c r="E146" s="153" t="s">
        <v>2499</v>
      </c>
    </row>
    <row r="147" spans="1:5">
      <c r="A147" s="11">
        <v>10669953</v>
      </c>
      <c r="B147" s="11" t="s">
        <v>1812</v>
      </c>
      <c r="C147" s="11" t="s">
        <v>2192</v>
      </c>
      <c r="D147" s="153">
        <v>41449</v>
      </c>
      <c r="E147" s="153" t="s">
        <v>2501</v>
      </c>
    </row>
    <row r="148" spans="1:5">
      <c r="A148" s="11">
        <v>10685052</v>
      </c>
      <c r="B148" s="11" t="s">
        <v>303</v>
      </c>
      <c r="C148" s="11" t="s">
        <v>2193</v>
      </c>
      <c r="D148" s="153">
        <v>42100</v>
      </c>
      <c r="E148" s="153" t="s">
        <v>2555</v>
      </c>
    </row>
    <row r="149" spans="1:5">
      <c r="A149" s="11">
        <v>10706519</v>
      </c>
      <c r="B149" s="11" t="s">
        <v>320</v>
      </c>
      <c r="C149" s="11" t="s">
        <v>2194</v>
      </c>
      <c r="D149" s="153">
        <v>42678</v>
      </c>
      <c r="E149" s="153" t="s">
        <v>2530</v>
      </c>
    </row>
    <row r="150" spans="1:5">
      <c r="A150" s="11">
        <v>10669276</v>
      </c>
      <c r="B150" s="11" t="s">
        <v>1567</v>
      </c>
      <c r="C150" s="11" t="s">
        <v>2195</v>
      </c>
      <c r="D150" s="153">
        <v>41435</v>
      </c>
      <c r="E150" s="153" t="s">
        <v>2500</v>
      </c>
    </row>
    <row r="151" spans="1:5">
      <c r="A151" s="11">
        <v>10705790</v>
      </c>
      <c r="B151" s="11" t="s">
        <v>2744</v>
      </c>
      <c r="C151" s="11" t="s">
        <v>2196</v>
      </c>
      <c r="D151" s="153">
        <v>42667</v>
      </c>
      <c r="E151" s="153" t="s">
        <v>2556</v>
      </c>
    </row>
    <row r="152" spans="1:5">
      <c r="A152" s="11">
        <v>10032503</v>
      </c>
      <c r="B152" s="11" t="s">
        <v>1837</v>
      </c>
      <c r="C152" s="11" t="s">
        <v>2197</v>
      </c>
      <c r="D152" s="153">
        <v>40358</v>
      </c>
      <c r="E152" s="153" t="s">
        <v>2499</v>
      </c>
    </row>
    <row r="153" spans="1:5">
      <c r="A153" s="11">
        <v>10671797</v>
      </c>
      <c r="B153" s="11" t="s">
        <v>1831</v>
      </c>
      <c r="C153" s="11" t="s">
        <v>2198</v>
      </c>
      <c r="D153" s="153">
        <v>41589</v>
      </c>
      <c r="E153" s="153" t="s">
        <v>2557</v>
      </c>
    </row>
    <row r="154" spans="1:5">
      <c r="A154" s="11">
        <v>10660198</v>
      </c>
      <c r="B154" s="11" t="s">
        <v>1839</v>
      </c>
      <c r="C154" s="11" t="s">
        <v>2199</v>
      </c>
      <c r="D154" s="153">
        <v>40955</v>
      </c>
    </row>
    <row r="155" spans="1:5">
      <c r="A155" s="11">
        <v>10636266</v>
      </c>
      <c r="B155" s="11" t="s">
        <v>1838</v>
      </c>
      <c r="C155" s="11" t="s">
        <v>2200</v>
      </c>
      <c r="D155" s="153">
        <v>39629</v>
      </c>
    </row>
    <row r="156" spans="1:5">
      <c r="A156" s="11">
        <v>10625389</v>
      </c>
      <c r="B156" s="11" t="s">
        <v>1840</v>
      </c>
      <c r="C156" s="11" t="s">
        <v>2201</v>
      </c>
      <c r="D156" s="153">
        <v>39084</v>
      </c>
    </row>
    <row r="157" spans="1:5">
      <c r="A157" s="11">
        <v>10618007</v>
      </c>
      <c r="B157" s="11" t="s">
        <v>1841</v>
      </c>
      <c r="C157" s="11" t="s">
        <v>2202</v>
      </c>
      <c r="D157" s="153">
        <v>38582</v>
      </c>
    </row>
    <row r="158" spans="1:5">
      <c r="A158" s="11">
        <v>10630010</v>
      </c>
      <c r="B158" s="11" t="s">
        <v>1849</v>
      </c>
      <c r="C158" s="11" t="s">
        <v>2203</v>
      </c>
      <c r="D158" s="153">
        <v>39344</v>
      </c>
    </row>
    <row r="159" spans="1:5">
      <c r="A159" s="11">
        <v>10007541</v>
      </c>
      <c r="B159" s="11" t="s">
        <v>1850</v>
      </c>
      <c r="C159" s="11" t="s">
        <v>2204</v>
      </c>
      <c r="D159" s="153">
        <v>38826</v>
      </c>
      <c r="E159" s="153" t="s">
        <v>2518</v>
      </c>
    </row>
    <row r="160" spans="1:5">
      <c r="A160" s="11">
        <v>10040993</v>
      </c>
      <c r="B160" s="11" t="s">
        <v>1829</v>
      </c>
      <c r="C160" s="11" t="s">
        <v>2205</v>
      </c>
      <c r="D160" s="153">
        <v>41722</v>
      </c>
      <c r="E160" s="153" t="s">
        <v>2499</v>
      </c>
    </row>
    <row r="161" spans="1:5">
      <c r="A161" s="11">
        <v>10610884</v>
      </c>
      <c r="B161" s="11" t="s">
        <v>1845</v>
      </c>
      <c r="C161" s="11" t="s">
        <v>2206</v>
      </c>
      <c r="D161" s="153">
        <v>38033</v>
      </c>
    </row>
    <row r="162" spans="1:5">
      <c r="A162" s="11">
        <v>10619104</v>
      </c>
      <c r="B162" s="11" t="s">
        <v>1842</v>
      </c>
      <c r="C162" s="11" t="s">
        <v>2207</v>
      </c>
      <c r="D162" s="153">
        <v>38663</v>
      </c>
    </row>
    <row r="163" spans="1:5">
      <c r="A163" s="11">
        <v>10613188</v>
      </c>
      <c r="B163" s="11" t="s">
        <v>1843</v>
      </c>
      <c r="C163" s="11" t="s">
        <v>2208</v>
      </c>
      <c r="D163" s="153">
        <v>38215</v>
      </c>
    </row>
    <row r="164" spans="1:5">
      <c r="A164" s="11">
        <v>10660197</v>
      </c>
      <c r="B164" s="11" t="s">
        <v>1844</v>
      </c>
      <c r="C164" s="11" t="s">
        <v>2209</v>
      </c>
      <c r="D164" s="153">
        <v>40955</v>
      </c>
    </row>
    <row r="165" spans="1:5">
      <c r="A165" s="11">
        <v>10669250</v>
      </c>
      <c r="B165" s="11" t="s">
        <v>286</v>
      </c>
      <c r="C165" s="11" t="s">
        <v>2212</v>
      </c>
      <c r="D165" s="153">
        <v>41435</v>
      </c>
      <c r="E165" s="153" t="s">
        <v>2500</v>
      </c>
    </row>
    <row r="166" spans="1:5">
      <c r="A166" s="11">
        <v>10706389</v>
      </c>
      <c r="B166" s="11" t="s">
        <v>389</v>
      </c>
      <c r="C166" s="11" t="s">
        <v>2394</v>
      </c>
      <c r="D166" s="153">
        <v>42675</v>
      </c>
      <c r="E166" s="153" t="s">
        <v>2530</v>
      </c>
    </row>
    <row r="167" spans="1:5">
      <c r="A167" s="11">
        <v>10713036</v>
      </c>
      <c r="B167" s="11" t="s">
        <v>2039</v>
      </c>
      <c r="C167" s="11" t="s">
        <v>2392</v>
      </c>
      <c r="D167" s="153">
        <v>42877</v>
      </c>
      <c r="E167" s="153" t="s">
        <v>2494</v>
      </c>
    </row>
    <row r="168" spans="1:5">
      <c r="A168" s="11">
        <v>10712684</v>
      </c>
      <c r="B168" s="11" t="s">
        <v>1986</v>
      </c>
      <c r="C168" s="11" t="s">
        <v>2213</v>
      </c>
      <c r="D168" s="153">
        <v>42870</v>
      </c>
      <c r="E168" s="153" t="s">
        <v>2559</v>
      </c>
    </row>
    <row r="169" spans="1:5">
      <c r="A169" s="11">
        <v>10712735</v>
      </c>
      <c r="B169" s="11" t="s">
        <v>1987</v>
      </c>
      <c r="C169" s="11" t="s">
        <v>2214</v>
      </c>
      <c r="D169" s="153">
        <v>42870</v>
      </c>
      <c r="E169" s="153" t="s">
        <v>2559</v>
      </c>
    </row>
    <row r="170" spans="1:5">
      <c r="A170" s="11">
        <v>10706521</v>
      </c>
      <c r="B170" s="11" t="s">
        <v>373</v>
      </c>
      <c r="C170" s="11" t="s">
        <v>2215</v>
      </c>
      <c r="D170" s="153">
        <v>42678</v>
      </c>
      <c r="E170" s="153" t="s">
        <v>2509</v>
      </c>
    </row>
    <row r="171" spans="1:5">
      <c r="A171" s="11">
        <v>10711968</v>
      </c>
      <c r="B171" s="11" t="s">
        <v>1988</v>
      </c>
      <c r="C171" s="11" t="s">
        <v>2216</v>
      </c>
      <c r="D171" s="153">
        <v>42856</v>
      </c>
      <c r="E171" s="153" t="s">
        <v>2547</v>
      </c>
    </row>
    <row r="172" spans="1:5">
      <c r="A172" s="11">
        <v>10705466</v>
      </c>
      <c r="B172" s="11" t="s">
        <v>386</v>
      </c>
      <c r="C172" s="11" t="s">
        <v>2217</v>
      </c>
      <c r="D172" s="153">
        <v>42660</v>
      </c>
      <c r="E172" s="153" t="s">
        <v>2527</v>
      </c>
    </row>
    <row r="173" spans="1:5">
      <c r="A173" s="11">
        <v>10712176</v>
      </c>
      <c r="B173" s="11" t="s">
        <v>1989</v>
      </c>
      <c r="C173" s="11" t="s">
        <v>2218</v>
      </c>
      <c r="D173" s="153">
        <v>42856</v>
      </c>
      <c r="E173" s="153" t="s">
        <v>2495</v>
      </c>
    </row>
    <row r="174" spans="1:5">
      <c r="A174" s="11">
        <v>10705585</v>
      </c>
      <c r="B174" s="11" t="s">
        <v>395</v>
      </c>
      <c r="C174" s="11" t="s">
        <v>2222</v>
      </c>
      <c r="D174" s="153">
        <v>42660</v>
      </c>
      <c r="E174" s="153" t="s">
        <v>2561</v>
      </c>
    </row>
    <row r="175" spans="1:5">
      <c r="A175" s="11">
        <v>10712128</v>
      </c>
      <c r="B175" s="11" t="s">
        <v>1991</v>
      </c>
      <c r="C175" s="11" t="s">
        <v>2227</v>
      </c>
      <c r="D175" s="153">
        <v>42856</v>
      </c>
      <c r="E175" s="153" t="s">
        <v>2495</v>
      </c>
    </row>
    <row r="176" spans="1:5">
      <c r="A176" s="11">
        <v>10693669</v>
      </c>
      <c r="B176" s="11" t="s">
        <v>307</v>
      </c>
      <c r="C176" s="11" t="s">
        <v>2220</v>
      </c>
      <c r="D176" s="153">
        <v>42366</v>
      </c>
      <c r="E176" s="153" t="s">
        <v>2560</v>
      </c>
    </row>
    <row r="177" spans="1:5">
      <c r="A177" s="11">
        <v>10706105</v>
      </c>
      <c r="B177" s="11" t="s">
        <v>382</v>
      </c>
      <c r="C177" s="11" t="s">
        <v>2236</v>
      </c>
      <c r="D177" s="153">
        <v>42674</v>
      </c>
      <c r="E177" s="153" t="s">
        <v>2562</v>
      </c>
    </row>
    <row r="178" spans="1:5">
      <c r="A178" s="11">
        <v>10710737</v>
      </c>
      <c r="B178" s="11" t="s">
        <v>319</v>
      </c>
      <c r="C178" s="11" t="s">
        <v>2225</v>
      </c>
      <c r="D178" s="153">
        <v>42802</v>
      </c>
      <c r="E178" s="153" t="s">
        <v>2530</v>
      </c>
    </row>
    <row r="179" spans="1:5">
      <c r="A179" s="11">
        <v>10706125</v>
      </c>
      <c r="B179" s="11" t="s">
        <v>381</v>
      </c>
      <c r="C179" s="11" t="s">
        <v>2243</v>
      </c>
      <c r="D179" s="153">
        <v>42674</v>
      </c>
      <c r="E179" s="153" t="s">
        <v>2523</v>
      </c>
    </row>
    <row r="180" spans="1:5">
      <c r="A180" s="11">
        <v>10705766</v>
      </c>
      <c r="B180" s="11" t="s">
        <v>2745</v>
      </c>
      <c r="C180" s="11" t="s">
        <v>2223</v>
      </c>
      <c r="D180" s="153">
        <v>42667</v>
      </c>
      <c r="E180" s="153" t="s">
        <v>2556</v>
      </c>
    </row>
    <row r="181" spans="1:5">
      <c r="A181" s="11">
        <v>10710740</v>
      </c>
      <c r="B181" s="11" t="s">
        <v>377</v>
      </c>
      <c r="C181" s="11" t="s">
        <v>2229</v>
      </c>
      <c r="D181" s="153">
        <v>42802</v>
      </c>
      <c r="E181" s="153" t="s">
        <v>2519</v>
      </c>
    </row>
    <row r="182" spans="1:5">
      <c r="A182" s="11">
        <v>10706517</v>
      </c>
      <c r="B182" s="11" t="s">
        <v>326</v>
      </c>
      <c r="C182" s="11" t="s">
        <v>2294</v>
      </c>
      <c r="D182" s="153">
        <v>42678</v>
      </c>
      <c r="E182" s="153" t="s">
        <v>2548</v>
      </c>
    </row>
    <row r="183" spans="1:5">
      <c r="A183" s="11">
        <v>10711203</v>
      </c>
      <c r="B183" s="11" t="s">
        <v>313</v>
      </c>
      <c r="C183" s="11" t="s">
        <v>2344</v>
      </c>
      <c r="D183" s="153">
        <v>42835</v>
      </c>
      <c r="E183" s="153" t="s">
        <v>2526</v>
      </c>
    </row>
    <row r="184" spans="1:5">
      <c r="A184" s="11">
        <v>10715046</v>
      </c>
      <c r="B184" s="11" t="s">
        <v>2746</v>
      </c>
      <c r="C184" s="11" t="s">
        <v>2232</v>
      </c>
      <c r="D184" s="153">
        <v>42912</v>
      </c>
      <c r="E184" s="153" t="s">
        <v>2565</v>
      </c>
    </row>
    <row r="185" spans="1:5">
      <c r="A185" s="11">
        <v>10706369</v>
      </c>
      <c r="B185" s="11" t="s">
        <v>372</v>
      </c>
      <c r="C185" s="11" t="s">
        <v>2293</v>
      </c>
      <c r="D185" s="153">
        <v>42675</v>
      </c>
      <c r="E185" s="153" t="s">
        <v>2508</v>
      </c>
    </row>
    <row r="186" spans="1:5">
      <c r="A186" s="11">
        <v>10705539</v>
      </c>
      <c r="B186" s="11" t="s">
        <v>408</v>
      </c>
      <c r="C186" s="11" t="s">
        <v>2221</v>
      </c>
      <c r="D186" s="153">
        <v>42660</v>
      </c>
      <c r="E186" s="153" t="s">
        <v>2561</v>
      </c>
    </row>
    <row r="187" spans="1:5">
      <c r="A187" s="11">
        <v>10706376</v>
      </c>
      <c r="B187" s="11" t="s">
        <v>316</v>
      </c>
      <c r="C187" s="11" t="s">
        <v>2235</v>
      </c>
      <c r="D187" s="153">
        <v>42675</v>
      </c>
      <c r="E187" s="153" t="s">
        <v>2478</v>
      </c>
    </row>
    <row r="188" spans="1:5">
      <c r="A188" s="11">
        <v>10689722</v>
      </c>
      <c r="B188" s="11" t="s">
        <v>306</v>
      </c>
      <c r="C188" s="11" t="s">
        <v>2234</v>
      </c>
      <c r="D188" s="153">
        <v>42212</v>
      </c>
      <c r="E188" s="153" t="s">
        <v>2499</v>
      </c>
    </row>
    <row r="189" spans="1:5">
      <c r="A189" s="11">
        <v>10689284</v>
      </c>
      <c r="B189" s="11" t="s">
        <v>321</v>
      </c>
      <c r="C189" s="11" t="s">
        <v>2233</v>
      </c>
      <c r="D189" s="153">
        <v>42198</v>
      </c>
      <c r="E189" s="153" t="s">
        <v>2530</v>
      </c>
    </row>
    <row r="190" spans="1:5">
      <c r="A190" s="11">
        <v>10714197</v>
      </c>
      <c r="B190" s="11" t="s">
        <v>1994</v>
      </c>
      <c r="C190" s="11" t="s">
        <v>2238</v>
      </c>
      <c r="D190" s="153">
        <v>42905</v>
      </c>
      <c r="E190" s="153" t="s">
        <v>2567</v>
      </c>
    </row>
    <row r="191" spans="1:5">
      <c r="A191" s="11">
        <v>10714219</v>
      </c>
      <c r="B191" s="11" t="s">
        <v>2023</v>
      </c>
      <c r="C191" s="11" t="s">
        <v>2359</v>
      </c>
      <c r="D191" s="153">
        <v>42905</v>
      </c>
      <c r="E191" s="153" t="s">
        <v>2549</v>
      </c>
    </row>
    <row r="192" spans="1:5">
      <c r="A192" s="11">
        <v>10718690</v>
      </c>
      <c r="B192" s="11" t="s">
        <v>2747</v>
      </c>
      <c r="C192" s="11" t="s">
        <v>2383</v>
      </c>
      <c r="D192" s="153">
        <v>43045</v>
      </c>
      <c r="E192" s="153" t="s">
        <v>2585</v>
      </c>
    </row>
    <row r="193" spans="1:5">
      <c r="A193" s="11">
        <v>10660009</v>
      </c>
      <c r="B193" s="11" t="s">
        <v>304</v>
      </c>
      <c r="C193" s="11" t="s">
        <v>2240</v>
      </c>
      <c r="D193" s="153">
        <v>40945</v>
      </c>
      <c r="E193" s="153" t="s">
        <v>2570</v>
      </c>
    </row>
    <row r="194" spans="1:5">
      <c r="A194" s="11">
        <v>10679981</v>
      </c>
      <c r="B194" s="11" t="s">
        <v>301</v>
      </c>
      <c r="C194" s="11" t="s">
        <v>2241</v>
      </c>
      <c r="D194" s="153">
        <v>41908</v>
      </c>
      <c r="E194" s="153" t="s">
        <v>2516</v>
      </c>
    </row>
    <row r="195" spans="1:5">
      <c r="A195" s="11">
        <v>10705801</v>
      </c>
      <c r="B195" s="11" t="s">
        <v>390</v>
      </c>
      <c r="C195" s="11" t="s">
        <v>2242</v>
      </c>
      <c r="D195" s="153">
        <v>42667</v>
      </c>
      <c r="E195" s="153" t="s">
        <v>2526</v>
      </c>
    </row>
    <row r="196" spans="1:5">
      <c r="A196" s="11">
        <v>10706531</v>
      </c>
      <c r="B196" s="11" t="s">
        <v>318</v>
      </c>
      <c r="C196" s="11" t="s">
        <v>2244</v>
      </c>
      <c r="D196" s="153">
        <v>42678</v>
      </c>
      <c r="E196" s="153" t="s">
        <v>2514</v>
      </c>
    </row>
    <row r="197" spans="1:5">
      <c r="A197" s="11">
        <v>10706282</v>
      </c>
      <c r="B197" s="11" t="s">
        <v>378</v>
      </c>
      <c r="C197" s="11" t="s">
        <v>2224</v>
      </c>
      <c r="D197" s="153">
        <v>42674</v>
      </c>
      <c r="E197" s="153" t="s">
        <v>2542</v>
      </c>
    </row>
    <row r="198" spans="1:5">
      <c r="A198" s="11">
        <v>10711976</v>
      </c>
      <c r="B198" s="11" t="s">
        <v>1990</v>
      </c>
      <c r="C198" s="11" t="s">
        <v>2226</v>
      </c>
      <c r="D198" s="153">
        <v>42856</v>
      </c>
      <c r="E198" s="153" t="s">
        <v>2547</v>
      </c>
    </row>
    <row r="199" spans="1:5">
      <c r="A199" s="11">
        <v>10706772</v>
      </c>
      <c r="B199" s="11" t="s">
        <v>383</v>
      </c>
      <c r="C199" s="11" t="s">
        <v>2245</v>
      </c>
      <c r="D199" s="153">
        <v>42681</v>
      </c>
      <c r="E199" s="153" t="s">
        <v>2552</v>
      </c>
    </row>
    <row r="200" spans="1:5">
      <c r="A200" s="11">
        <v>10710745</v>
      </c>
      <c r="B200" s="11" t="s">
        <v>1568</v>
      </c>
      <c r="C200" s="11" t="s">
        <v>2246</v>
      </c>
      <c r="D200" s="153">
        <v>42821</v>
      </c>
      <c r="E200" s="153" t="s">
        <v>2509</v>
      </c>
    </row>
    <row r="201" spans="1:5">
      <c r="A201" s="11">
        <v>10711847</v>
      </c>
      <c r="B201" s="11" t="s">
        <v>1997</v>
      </c>
      <c r="C201" s="11" t="s">
        <v>2249</v>
      </c>
      <c r="D201" s="153">
        <v>42849</v>
      </c>
      <c r="E201" s="153" t="s">
        <v>2541</v>
      </c>
    </row>
    <row r="202" spans="1:5">
      <c r="A202" s="11">
        <v>10713032</v>
      </c>
      <c r="B202" s="11" t="s">
        <v>1998</v>
      </c>
      <c r="C202" s="11" t="s">
        <v>2250</v>
      </c>
      <c r="D202" s="153">
        <v>42877</v>
      </c>
      <c r="E202" s="153" t="s">
        <v>2494</v>
      </c>
    </row>
    <row r="203" spans="1:5">
      <c r="A203" s="11">
        <v>10711838</v>
      </c>
      <c r="B203" s="11" t="s">
        <v>1996</v>
      </c>
      <c r="C203" s="11" t="s">
        <v>2248</v>
      </c>
      <c r="D203" s="153">
        <v>42849</v>
      </c>
      <c r="E203" s="153" t="s">
        <v>2541</v>
      </c>
    </row>
    <row r="204" spans="1:5">
      <c r="A204" s="11">
        <v>10713388</v>
      </c>
      <c r="B204" s="11" t="s">
        <v>2000</v>
      </c>
      <c r="C204" s="11" t="s">
        <v>2279</v>
      </c>
      <c r="D204" s="153">
        <v>42898</v>
      </c>
      <c r="E204" s="153" t="s">
        <v>2571</v>
      </c>
    </row>
    <row r="205" spans="1:5">
      <c r="A205" s="11">
        <v>10713110</v>
      </c>
      <c r="B205" s="11" t="s">
        <v>1951</v>
      </c>
      <c r="C205" s="11" t="s">
        <v>2060</v>
      </c>
      <c r="D205" s="153">
        <v>42891</v>
      </c>
      <c r="E205" s="153" t="s">
        <v>2497</v>
      </c>
    </row>
    <row r="206" spans="1:5">
      <c r="A206" s="11">
        <v>10719275</v>
      </c>
      <c r="B206" s="11" t="s">
        <v>2748</v>
      </c>
      <c r="C206" s="11" t="s">
        <v>2395</v>
      </c>
      <c r="D206" s="153">
        <v>43052</v>
      </c>
      <c r="E206" s="153" t="s">
        <v>2586</v>
      </c>
    </row>
    <row r="207" spans="1:5">
      <c r="A207" s="11">
        <v>10710247</v>
      </c>
      <c r="B207" s="11" t="s">
        <v>411</v>
      </c>
      <c r="C207" s="11" t="s">
        <v>2251</v>
      </c>
      <c r="D207" s="153">
        <v>42800</v>
      </c>
      <c r="E207" s="153" t="s">
        <v>2483</v>
      </c>
    </row>
    <row r="208" spans="1:5">
      <c r="A208" s="11">
        <v>10679985</v>
      </c>
      <c r="B208" s="11" t="s">
        <v>1801</v>
      </c>
      <c r="C208" s="11" t="s">
        <v>2252</v>
      </c>
      <c r="D208" s="153">
        <v>41908</v>
      </c>
      <c r="E208" s="153" t="s">
        <v>2516</v>
      </c>
    </row>
    <row r="209" spans="1:5">
      <c r="A209" s="11">
        <v>10036820</v>
      </c>
      <c r="B209" s="11" t="s">
        <v>1822</v>
      </c>
      <c r="C209" s="11" t="s">
        <v>2253</v>
      </c>
      <c r="D209" s="153">
        <v>41092</v>
      </c>
      <c r="E209" s="153" t="s">
        <v>2506</v>
      </c>
    </row>
    <row r="210" spans="1:5">
      <c r="A210" s="11">
        <v>10038663</v>
      </c>
      <c r="B210" s="11" t="s">
        <v>1823</v>
      </c>
      <c r="C210" s="11" t="s">
        <v>2254</v>
      </c>
      <c r="D210" s="153">
        <v>41386</v>
      </c>
      <c r="E210" s="153" t="s">
        <v>2506</v>
      </c>
    </row>
    <row r="211" spans="1:5">
      <c r="A211" s="11">
        <v>10037691</v>
      </c>
      <c r="B211" s="11" t="s">
        <v>1824</v>
      </c>
      <c r="C211" s="11" t="s">
        <v>2255</v>
      </c>
      <c r="D211" s="153">
        <v>41225</v>
      </c>
      <c r="E211" s="153" t="s">
        <v>2506</v>
      </c>
    </row>
    <row r="212" spans="1:5">
      <c r="A212" s="11">
        <v>10708909</v>
      </c>
      <c r="B212" s="11" t="s">
        <v>317</v>
      </c>
      <c r="C212" s="11" t="s">
        <v>2262</v>
      </c>
      <c r="D212" s="153">
        <v>42758</v>
      </c>
      <c r="E212" s="153" t="s">
        <v>2478</v>
      </c>
    </row>
    <row r="213" spans="1:5">
      <c r="A213" s="11">
        <v>10706106</v>
      </c>
      <c r="B213" s="11" t="s">
        <v>375</v>
      </c>
      <c r="C213" s="11" t="s">
        <v>2269</v>
      </c>
      <c r="D213" s="153">
        <v>42674</v>
      </c>
      <c r="E213" s="153" t="s">
        <v>2562</v>
      </c>
    </row>
    <row r="214" spans="1:5">
      <c r="A214" s="11">
        <v>10035568</v>
      </c>
      <c r="B214" s="11" t="s">
        <v>1825</v>
      </c>
      <c r="C214" s="11" t="s">
        <v>2258</v>
      </c>
      <c r="D214" s="153">
        <v>40826</v>
      </c>
      <c r="E214" s="153" t="s">
        <v>2506</v>
      </c>
    </row>
    <row r="215" spans="1:5">
      <c r="A215" s="11">
        <v>10707057</v>
      </c>
      <c r="B215" s="11" t="s">
        <v>291</v>
      </c>
      <c r="C215" s="11" t="s">
        <v>2170</v>
      </c>
      <c r="D215" s="153">
        <v>42688</v>
      </c>
      <c r="E215" s="153" t="s">
        <v>2530</v>
      </c>
    </row>
    <row r="216" spans="1:5">
      <c r="A216" s="11">
        <v>10669889</v>
      </c>
      <c r="B216" s="11" t="s">
        <v>1803</v>
      </c>
      <c r="C216" s="11" t="s">
        <v>2256</v>
      </c>
      <c r="D216" s="153">
        <v>41449</v>
      </c>
      <c r="E216" s="153" t="s">
        <v>2501</v>
      </c>
    </row>
    <row r="217" spans="1:5">
      <c r="A217" s="11">
        <v>10693645</v>
      </c>
      <c r="B217" s="11" t="s">
        <v>1804</v>
      </c>
      <c r="C217" s="11" t="s">
        <v>2257</v>
      </c>
      <c r="D217" s="153">
        <v>42359</v>
      </c>
      <c r="E217" s="153" t="s">
        <v>2572</v>
      </c>
    </row>
    <row r="218" spans="1:5">
      <c r="A218" s="11">
        <v>10684855</v>
      </c>
      <c r="B218" s="11" t="s">
        <v>235</v>
      </c>
      <c r="C218" s="11" t="s">
        <v>2261</v>
      </c>
      <c r="D218" s="153">
        <v>42093</v>
      </c>
      <c r="E218" s="153" t="s">
        <v>2503</v>
      </c>
    </row>
    <row r="219" spans="1:5">
      <c r="A219" s="11">
        <v>10670228</v>
      </c>
      <c r="B219" s="11" t="s">
        <v>1805</v>
      </c>
      <c r="C219" s="11" t="s">
        <v>2259</v>
      </c>
      <c r="D219" s="153">
        <v>41470</v>
      </c>
      <c r="E219" s="153" t="s">
        <v>2481</v>
      </c>
    </row>
    <row r="220" spans="1:5">
      <c r="A220" s="11">
        <v>10677992</v>
      </c>
      <c r="B220" s="11" t="s">
        <v>354</v>
      </c>
      <c r="C220" s="11" t="s">
        <v>2268</v>
      </c>
      <c r="D220" s="153">
        <v>41841</v>
      </c>
      <c r="E220" s="153" t="s">
        <v>2499</v>
      </c>
    </row>
    <row r="221" spans="1:5">
      <c r="A221" s="11">
        <v>10670569</v>
      </c>
      <c r="B221" s="11" t="s">
        <v>1802</v>
      </c>
      <c r="C221" s="11" t="s">
        <v>2264</v>
      </c>
      <c r="D221" s="153">
        <v>41491</v>
      </c>
      <c r="E221" s="153" t="s">
        <v>2537</v>
      </c>
    </row>
    <row r="222" spans="1:5">
      <c r="A222" s="11">
        <v>10665744</v>
      </c>
      <c r="B222" s="11" t="s">
        <v>1808</v>
      </c>
      <c r="C222" s="11" t="s">
        <v>2265</v>
      </c>
      <c r="D222" s="153">
        <v>41250</v>
      </c>
      <c r="E222" s="153" t="s">
        <v>2535</v>
      </c>
    </row>
    <row r="223" spans="1:5">
      <c r="A223" s="11">
        <v>10656793</v>
      </c>
      <c r="B223" s="11" t="s">
        <v>1809</v>
      </c>
      <c r="C223" s="11" t="s">
        <v>2266</v>
      </c>
      <c r="D223" s="153">
        <v>40729</v>
      </c>
    </row>
    <row r="224" spans="1:5">
      <c r="A224" s="11">
        <v>10665738</v>
      </c>
      <c r="B224" s="11" t="s">
        <v>1810</v>
      </c>
      <c r="C224" s="11" t="s">
        <v>2267</v>
      </c>
      <c r="D224" s="153">
        <v>41250</v>
      </c>
      <c r="E224" s="153" t="s">
        <v>2514</v>
      </c>
    </row>
    <row r="225" spans="1:5">
      <c r="A225" s="11">
        <v>10684296</v>
      </c>
      <c r="B225" s="11" t="s">
        <v>1807</v>
      </c>
      <c r="C225" s="11" t="s">
        <v>2260</v>
      </c>
      <c r="D225" s="153">
        <v>42079</v>
      </c>
    </row>
    <row r="226" spans="1:5">
      <c r="A226" s="11">
        <v>10670161</v>
      </c>
      <c r="B226" s="11" t="s">
        <v>298</v>
      </c>
      <c r="C226" s="11" t="s">
        <v>2263</v>
      </c>
      <c r="D226" s="153">
        <v>41463</v>
      </c>
      <c r="E226" s="153" t="s">
        <v>2480</v>
      </c>
    </row>
    <row r="227" spans="1:5">
      <c r="A227" s="11">
        <v>10701521</v>
      </c>
      <c r="B227" s="11" t="s">
        <v>2749</v>
      </c>
      <c r="C227" s="11" t="s">
        <v>2721</v>
      </c>
      <c r="D227" s="153">
        <v>42619</v>
      </c>
      <c r="E227" s="153" t="s">
        <v>2764</v>
      </c>
    </row>
    <row r="228" spans="1:5">
      <c r="A228" s="11">
        <v>10707055</v>
      </c>
      <c r="B228" s="11" t="s">
        <v>2710</v>
      </c>
      <c r="C228" s="11" t="s">
        <v>2721</v>
      </c>
      <c r="D228" s="153">
        <v>42688</v>
      </c>
      <c r="E228" s="153" t="s">
        <v>2723</v>
      </c>
    </row>
    <row r="229" spans="1:5">
      <c r="A229" s="11">
        <v>10688118</v>
      </c>
      <c r="B229" s="11" t="s">
        <v>2750</v>
      </c>
      <c r="C229" s="11" t="s">
        <v>2721</v>
      </c>
      <c r="D229" s="153">
        <v>42170</v>
      </c>
      <c r="E229" s="153" t="s">
        <v>2764</v>
      </c>
    </row>
    <row r="230" spans="1:5">
      <c r="A230" s="11">
        <v>10711036</v>
      </c>
      <c r="B230" s="11" t="s">
        <v>362</v>
      </c>
      <c r="C230" s="11" t="s">
        <v>2270</v>
      </c>
      <c r="D230" s="153">
        <v>42828</v>
      </c>
      <c r="E230" s="153" t="s">
        <v>2539</v>
      </c>
    </row>
    <row r="231" spans="1:5">
      <c r="A231" s="11">
        <v>10669798</v>
      </c>
      <c r="B231" s="11" t="s">
        <v>328</v>
      </c>
      <c r="C231" s="11" t="s">
        <v>2271</v>
      </c>
      <c r="D231" s="153">
        <v>41442</v>
      </c>
      <c r="E231" s="153" t="s">
        <v>2558</v>
      </c>
    </row>
    <row r="232" spans="1:5">
      <c r="A232" s="11">
        <v>10033753</v>
      </c>
      <c r="B232" s="11" t="s">
        <v>1813</v>
      </c>
      <c r="C232" s="11" t="s">
        <v>2272</v>
      </c>
      <c r="D232" s="153">
        <v>40464</v>
      </c>
      <c r="E232" s="153" t="s">
        <v>2506</v>
      </c>
    </row>
    <row r="233" spans="1:5">
      <c r="A233" s="11">
        <v>10693462</v>
      </c>
      <c r="B233" s="11" t="s">
        <v>1814</v>
      </c>
      <c r="C233" s="11" t="s">
        <v>2273</v>
      </c>
      <c r="D233" s="153">
        <v>42352</v>
      </c>
    </row>
    <row r="234" spans="1:5">
      <c r="A234" s="11">
        <v>10669653</v>
      </c>
      <c r="B234" s="11" t="s">
        <v>257</v>
      </c>
      <c r="C234" s="11" t="s">
        <v>2274</v>
      </c>
      <c r="D234" s="153">
        <v>41442</v>
      </c>
      <c r="E234" s="153" t="s">
        <v>2558</v>
      </c>
    </row>
    <row r="235" spans="1:5">
      <c r="A235" s="11">
        <v>10663734</v>
      </c>
      <c r="B235" s="11" t="s">
        <v>1846</v>
      </c>
      <c r="C235" s="11" t="s">
        <v>2275</v>
      </c>
      <c r="D235" s="153">
        <v>41120</v>
      </c>
    </row>
    <row r="236" spans="1:5">
      <c r="A236" s="11">
        <v>10035151</v>
      </c>
      <c r="B236" s="11" t="s">
        <v>1848</v>
      </c>
      <c r="C236" s="11" t="s">
        <v>2276</v>
      </c>
      <c r="D236" s="153">
        <v>40773</v>
      </c>
      <c r="E236" s="153" t="s">
        <v>2530</v>
      </c>
    </row>
    <row r="237" spans="1:5">
      <c r="A237" s="11">
        <v>10645018</v>
      </c>
      <c r="B237" s="11" t="s">
        <v>1847</v>
      </c>
      <c r="C237" s="11" t="s">
        <v>2277</v>
      </c>
      <c r="D237" s="153">
        <v>40028</v>
      </c>
    </row>
    <row r="238" spans="1:5">
      <c r="A238" s="11">
        <v>10632234</v>
      </c>
      <c r="B238" s="11" t="s">
        <v>1999</v>
      </c>
      <c r="C238" s="11" t="s">
        <v>2278</v>
      </c>
      <c r="D238" s="153">
        <v>39468</v>
      </c>
    </row>
    <row r="239" spans="1:5">
      <c r="A239" s="11">
        <v>10031572</v>
      </c>
      <c r="B239" s="11" t="s">
        <v>1830</v>
      </c>
      <c r="C239" s="11" t="s">
        <v>2247</v>
      </c>
      <c r="D239" s="153">
        <v>40197</v>
      </c>
      <c r="E239" s="153" t="s">
        <v>2499</v>
      </c>
    </row>
    <row r="240" spans="1:5">
      <c r="A240" s="11">
        <v>10712853</v>
      </c>
      <c r="B240" s="11" t="s">
        <v>2008</v>
      </c>
      <c r="C240" s="11" t="s">
        <v>2287</v>
      </c>
      <c r="D240" s="153">
        <v>42877</v>
      </c>
      <c r="E240" s="153" t="s">
        <v>2545</v>
      </c>
    </row>
    <row r="241" spans="1:5">
      <c r="A241" s="11">
        <v>10711849</v>
      </c>
      <c r="B241" s="11" t="s">
        <v>2009</v>
      </c>
      <c r="C241" s="11" t="s">
        <v>2288</v>
      </c>
      <c r="D241" s="153">
        <v>42849</v>
      </c>
      <c r="E241" s="153" t="s">
        <v>2527</v>
      </c>
    </row>
    <row r="242" spans="1:5">
      <c r="A242" s="11">
        <v>10713049</v>
      </c>
      <c r="B242" s="11" t="s">
        <v>2017</v>
      </c>
      <c r="C242" s="11" t="s">
        <v>2349</v>
      </c>
      <c r="D242" s="153">
        <v>42877</v>
      </c>
      <c r="E242" s="153" t="s">
        <v>2545</v>
      </c>
    </row>
    <row r="243" spans="1:5">
      <c r="A243" s="11">
        <v>10713108</v>
      </c>
      <c r="B243" s="11" t="s">
        <v>2004</v>
      </c>
      <c r="C243" s="11" t="s">
        <v>2283</v>
      </c>
      <c r="D243" s="153">
        <v>43081</v>
      </c>
      <c r="E243" s="153" t="s">
        <v>2575</v>
      </c>
    </row>
    <row r="244" spans="1:5">
      <c r="A244" s="11">
        <v>10713483</v>
      </c>
      <c r="B244" s="11" t="s">
        <v>2020</v>
      </c>
      <c r="C244" s="11" t="s">
        <v>2352</v>
      </c>
      <c r="D244" s="153">
        <v>42891</v>
      </c>
      <c r="E244" s="153" t="s">
        <v>2497</v>
      </c>
    </row>
    <row r="245" spans="1:5">
      <c r="A245" s="11">
        <v>10713302</v>
      </c>
      <c r="B245" s="11" t="s">
        <v>2010</v>
      </c>
      <c r="C245" s="11" t="s">
        <v>2289</v>
      </c>
      <c r="D245" s="153">
        <v>42891</v>
      </c>
      <c r="E245" s="153" t="s">
        <v>2497</v>
      </c>
    </row>
    <row r="246" spans="1:5">
      <c r="A246" s="11">
        <v>10713816</v>
      </c>
      <c r="B246" s="11" t="s">
        <v>2003</v>
      </c>
      <c r="C246" s="11" t="s">
        <v>2282</v>
      </c>
      <c r="D246" s="153">
        <v>42898</v>
      </c>
      <c r="E246" s="153" t="s">
        <v>2540</v>
      </c>
    </row>
    <row r="247" spans="1:5">
      <c r="A247" s="11">
        <v>10712312</v>
      </c>
      <c r="B247" s="11" t="s">
        <v>2001</v>
      </c>
      <c r="C247" s="11" t="s">
        <v>2280</v>
      </c>
      <c r="D247" s="153">
        <v>42863</v>
      </c>
      <c r="E247" s="153" t="s">
        <v>2479</v>
      </c>
    </row>
    <row r="248" spans="1:5">
      <c r="A248" s="11">
        <v>10713949</v>
      </c>
      <c r="B248" s="11" t="s">
        <v>2005</v>
      </c>
      <c r="C248" s="11" t="s">
        <v>2284</v>
      </c>
      <c r="D248" s="153">
        <v>42898</v>
      </c>
      <c r="E248" s="153" t="s">
        <v>2546</v>
      </c>
    </row>
    <row r="249" spans="1:5">
      <c r="A249" s="11">
        <v>10713104</v>
      </c>
      <c r="B249" s="11" t="s">
        <v>2015</v>
      </c>
      <c r="C249" s="11" t="s">
        <v>2347</v>
      </c>
      <c r="D249" s="153">
        <v>42891</v>
      </c>
      <c r="E249" s="153" t="s">
        <v>2497</v>
      </c>
    </row>
    <row r="250" spans="1:5">
      <c r="A250" s="11">
        <v>10713030</v>
      </c>
      <c r="B250" s="11" t="s">
        <v>2014</v>
      </c>
      <c r="C250" s="11" t="s">
        <v>2346</v>
      </c>
      <c r="D250" s="153">
        <v>42877</v>
      </c>
      <c r="E250" s="153" t="s">
        <v>2545</v>
      </c>
    </row>
    <row r="251" spans="1:5">
      <c r="A251" s="11">
        <v>10712856</v>
      </c>
      <c r="B251" s="11" t="s">
        <v>2011</v>
      </c>
      <c r="C251" s="11" t="s">
        <v>2290</v>
      </c>
      <c r="D251" s="153">
        <v>42877</v>
      </c>
      <c r="E251" s="153" t="s">
        <v>2545</v>
      </c>
    </row>
    <row r="252" spans="1:5">
      <c r="A252" s="11">
        <v>10713508</v>
      </c>
      <c r="B252" s="11" t="s">
        <v>2032</v>
      </c>
      <c r="C252" s="11" t="s">
        <v>2380</v>
      </c>
      <c r="D252" s="153">
        <v>42891</v>
      </c>
      <c r="E252" s="153" t="s">
        <v>2497</v>
      </c>
    </row>
    <row r="253" spans="1:5">
      <c r="A253" s="11">
        <v>10701566</v>
      </c>
      <c r="B253" s="11" t="s">
        <v>241</v>
      </c>
      <c r="C253" s="11" t="s">
        <v>2296</v>
      </c>
      <c r="D253" s="153">
        <v>42555</v>
      </c>
      <c r="E253" s="153" t="s">
        <v>2490</v>
      </c>
    </row>
    <row r="254" spans="1:5">
      <c r="A254" s="11">
        <v>10669253</v>
      </c>
      <c r="B254" s="11" t="s">
        <v>253</v>
      </c>
      <c r="C254" s="11" t="s">
        <v>2297</v>
      </c>
      <c r="D254" s="153">
        <v>41435</v>
      </c>
      <c r="E254" s="153" t="s">
        <v>2500</v>
      </c>
    </row>
    <row r="255" spans="1:5">
      <c r="A255" s="11">
        <v>10701520</v>
      </c>
      <c r="B255" s="11" t="s">
        <v>261</v>
      </c>
      <c r="C255" s="11" t="s">
        <v>2298</v>
      </c>
      <c r="D255" s="153">
        <v>42619</v>
      </c>
      <c r="E255" s="153" t="s">
        <v>2490</v>
      </c>
    </row>
    <row r="256" spans="1:5">
      <c r="A256" s="11">
        <v>10706532</v>
      </c>
      <c r="B256" s="11" t="s">
        <v>244</v>
      </c>
      <c r="C256" s="11" t="s">
        <v>2299</v>
      </c>
      <c r="D256" s="153">
        <v>42678</v>
      </c>
      <c r="E256" s="153" t="s">
        <v>2530</v>
      </c>
    </row>
    <row r="257" spans="1:5">
      <c r="A257" s="11">
        <v>10701553</v>
      </c>
      <c r="B257" s="11" t="s">
        <v>275</v>
      </c>
      <c r="C257" s="11" t="s">
        <v>2301</v>
      </c>
      <c r="D257" s="153">
        <v>42555</v>
      </c>
      <c r="E257" s="153" t="s">
        <v>2513</v>
      </c>
    </row>
    <row r="258" spans="1:5">
      <c r="A258" s="11">
        <v>10669805</v>
      </c>
      <c r="B258" s="11" t="s">
        <v>260</v>
      </c>
      <c r="C258" s="11" t="s">
        <v>2302</v>
      </c>
      <c r="D258" s="153">
        <v>41442</v>
      </c>
      <c r="E258" s="153" t="s">
        <v>2558</v>
      </c>
    </row>
    <row r="259" spans="1:5">
      <c r="A259" s="11">
        <v>10698332</v>
      </c>
      <c r="B259" s="11" t="s">
        <v>268</v>
      </c>
      <c r="C259" s="11" t="s">
        <v>2303</v>
      </c>
      <c r="D259" s="153">
        <v>42478</v>
      </c>
      <c r="E259" s="153" t="s">
        <v>2513</v>
      </c>
    </row>
    <row r="260" spans="1:5">
      <c r="A260" s="11">
        <v>10035385</v>
      </c>
      <c r="B260" s="11" t="s">
        <v>357</v>
      </c>
      <c r="C260" s="11" t="s">
        <v>2304</v>
      </c>
      <c r="D260" s="153">
        <v>40798</v>
      </c>
      <c r="E260" s="153" t="s">
        <v>2529</v>
      </c>
    </row>
    <row r="261" spans="1:5">
      <c r="A261" s="11">
        <v>10700776</v>
      </c>
      <c r="B261" s="11" t="s">
        <v>246</v>
      </c>
      <c r="C261" s="11" t="s">
        <v>2305</v>
      </c>
      <c r="D261" s="153">
        <v>42541</v>
      </c>
      <c r="E261" s="153" t="s">
        <v>2490</v>
      </c>
    </row>
    <row r="262" spans="1:5">
      <c r="A262" s="11">
        <v>10669886</v>
      </c>
      <c r="B262" s="11" t="s">
        <v>238</v>
      </c>
      <c r="C262" s="11" t="s">
        <v>2306</v>
      </c>
      <c r="D262" s="153">
        <v>41449</v>
      </c>
    </row>
    <row r="263" spans="1:5">
      <c r="A263" s="11">
        <v>10693666</v>
      </c>
      <c r="B263" s="11" t="s">
        <v>256</v>
      </c>
      <c r="C263" s="11" t="s">
        <v>2307</v>
      </c>
      <c r="D263" s="153">
        <v>42366</v>
      </c>
      <c r="E263" s="153" t="s">
        <v>2577</v>
      </c>
    </row>
    <row r="264" spans="1:5">
      <c r="A264" s="11">
        <v>10670515</v>
      </c>
      <c r="B264" s="11" t="s">
        <v>251</v>
      </c>
      <c r="C264" s="11" t="s">
        <v>2308</v>
      </c>
      <c r="D264" s="153">
        <v>41484</v>
      </c>
      <c r="E264" s="153" t="s">
        <v>2554</v>
      </c>
    </row>
    <row r="265" spans="1:5">
      <c r="A265" s="11">
        <v>10665315</v>
      </c>
      <c r="B265" s="11" t="s">
        <v>265</v>
      </c>
      <c r="C265" s="11" t="s">
        <v>2309</v>
      </c>
      <c r="D265" s="153">
        <v>41232</v>
      </c>
    </row>
    <row r="266" spans="1:5">
      <c r="A266" s="11">
        <v>10671794</v>
      </c>
      <c r="B266" s="11" t="s">
        <v>248</v>
      </c>
      <c r="C266" s="11" t="s">
        <v>2310</v>
      </c>
      <c r="D266" s="153">
        <v>41589</v>
      </c>
      <c r="E266" s="153" t="s">
        <v>2557</v>
      </c>
    </row>
    <row r="267" spans="1:5">
      <c r="A267" s="11">
        <v>10679982</v>
      </c>
      <c r="B267" s="11" t="s">
        <v>252</v>
      </c>
      <c r="C267" s="11" t="s">
        <v>2311</v>
      </c>
      <c r="D267" s="153">
        <v>41908</v>
      </c>
      <c r="E267" s="153" t="s">
        <v>2516</v>
      </c>
    </row>
    <row r="268" spans="1:5">
      <c r="A268" s="11">
        <v>10680314</v>
      </c>
      <c r="B268" s="11" t="s">
        <v>258</v>
      </c>
      <c r="C268" s="11" t="s">
        <v>2312</v>
      </c>
      <c r="D268" s="153">
        <v>41927</v>
      </c>
    </row>
    <row r="269" spans="1:5">
      <c r="A269" s="11">
        <v>10625390</v>
      </c>
      <c r="B269" s="11" t="s">
        <v>254</v>
      </c>
      <c r="C269" s="11" t="s">
        <v>2313</v>
      </c>
      <c r="D269" s="153">
        <v>39084</v>
      </c>
      <c r="E269" s="153" t="s">
        <v>2578</v>
      </c>
    </row>
    <row r="270" spans="1:5">
      <c r="A270" s="11">
        <v>10686586</v>
      </c>
      <c r="B270" s="11" t="s">
        <v>266</v>
      </c>
      <c r="C270" s="11" t="s">
        <v>2314</v>
      </c>
      <c r="D270" s="153">
        <v>42135</v>
      </c>
    </row>
    <row r="271" spans="1:5">
      <c r="A271" s="11">
        <v>10707041</v>
      </c>
      <c r="B271" s="11" t="s">
        <v>369</v>
      </c>
      <c r="C271" s="11" t="s">
        <v>2181</v>
      </c>
      <c r="D271" s="153">
        <v>42684</v>
      </c>
      <c r="E271" s="153" t="s">
        <v>2553</v>
      </c>
    </row>
    <row r="272" spans="1:5">
      <c r="A272" s="11">
        <v>10698902</v>
      </c>
      <c r="B272" s="11" t="s">
        <v>274</v>
      </c>
      <c r="C272" s="11" t="s">
        <v>2315</v>
      </c>
      <c r="D272" s="153">
        <v>42492</v>
      </c>
      <c r="E272" s="153" t="s">
        <v>2513</v>
      </c>
    </row>
    <row r="273" spans="1:5">
      <c r="A273" s="11">
        <v>10714169</v>
      </c>
      <c r="B273" s="11" t="s">
        <v>2007</v>
      </c>
      <c r="C273" s="11" t="s">
        <v>2286</v>
      </c>
      <c r="D273" s="153">
        <v>42905</v>
      </c>
      <c r="E273" s="153" t="s">
        <v>2496</v>
      </c>
    </row>
    <row r="274" spans="1:5">
      <c r="A274" s="11">
        <v>10708629</v>
      </c>
      <c r="B274" s="11" t="s">
        <v>242</v>
      </c>
      <c r="C274" s="11" t="s">
        <v>2316</v>
      </c>
      <c r="D274" s="153">
        <v>42746</v>
      </c>
      <c r="E274" s="153" t="s">
        <v>2478</v>
      </c>
    </row>
    <row r="275" spans="1:5">
      <c r="A275" s="11">
        <v>10028623</v>
      </c>
      <c r="B275" s="11" t="s">
        <v>269</v>
      </c>
      <c r="C275" s="11" t="s">
        <v>2317</v>
      </c>
      <c r="D275" s="153">
        <v>39959</v>
      </c>
      <c r="E275" s="153" t="s">
        <v>2530</v>
      </c>
    </row>
    <row r="276" spans="1:5">
      <c r="A276" s="11">
        <v>10655574</v>
      </c>
      <c r="B276" s="11" t="s">
        <v>264</v>
      </c>
      <c r="C276" s="11" t="s">
        <v>2318</v>
      </c>
      <c r="D276" s="153">
        <v>40679</v>
      </c>
    </row>
    <row r="277" spans="1:5">
      <c r="A277" s="11">
        <v>10698914</v>
      </c>
      <c r="B277" s="11" t="s">
        <v>272</v>
      </c>
      <c r="C277" s="11" t="s">
        <v>2320</v>
      </c>
      <c r="D277" s="153">
        <v>42492</v>
      </c>
      <c r="E277" s="153" t="s">
        <v>2490</v>
      </c>
    </row>
    <row r="278" spans="1:5">
      <c r="A278" s="11">
        <v>10681437</v>
      </c>
      <c r="B278" s="11" t="s">
        <v>342</v>
      </c>
      <c r="C278" s="11" t="s">
        <v>2321</v>
      </c>
      <c r="D278" s="153">
        <v>41953</v>
      </c>
      <c r="E278" s="153" t="s">
        <v>2560</v>
      </c>
    </row>
    <row r="279" spans="1:5">
      <c r="A279" s="11">
        <v>10693133</v>
      </c>
      <c r="B279" s="11" t="s">
        <v>349</v>
      </c>
      <c r="C279" s="11" t="s">
        <v>2322</v>
      </c>
      <c r="D279" s="153">
        <v>42338</v>
      </c>
      <c r="E279" s="153" t="s">
        <v>2566</v>
      </c>
    </row>
    <row r="280" spans="1:5">
      <c r="A280" s="11">
        <v>10663365</v>
      </c>
      <c r="B280" s="11" t="s">
        <v>237</v>
      </c>
      <c r="C280" s="11" t="s">
        <v>2323</v>
      </c>
      <c r="D280" s="153">
        <v>41099</v>
      </c>
      <c r="E280" s="153" t="s">
        <v>2570</v>
      </c>
    </row>
    <row r="281" spans="1:5">
      <c r="A281" s="11">
        <v>10016481</v>
      </c>
      <c r="B281" s="11" t="s">
        <v>361</v>
      </c>
      <c r="C281" s="11" t="s">
        <v>2324</v>
      </c>
      <c r="D281" s="153">
        <v>39314</v>
      </c>
      <c r="E281" s="153" t="s">
        <v>2506</v>
      </c>
    </row>
    <row r="282" spans="1:5">
      <c r="A282" s="11">
        <v>10706960</v>
      </c>
      <c r="B282" s="11" t="s">
        <v>245</v>
      </c>
      <c r="C282" s="11" t="s">
        <v>2325</v>
      </c>
      <c r="D282" s="153">
        <v>42688</v>
      </c>
      <c r="E282" s="153" t="s">
        <v>2530</v>
      </c>
    </row>
    <row r="283" spans="1:5">
      <c r="A283" s="11">
        <v>10693647</v>
      </c>
      <c r="B283" s="11" t="s">
        <v>270</v>
      </c>
      <c r="C283" s="11" t="s">
        <v>2326</v>
      </c>
      <c r="D283" s="153">
        <v>42359</v>
      </c>
      <c r="E283" s="153" t="s">
        <v>2579</v>
      </c>
    </row>
    <row r="284" spans="1:5">
      <c r="A284" s="11">
        <v>10688722</v>
      </c>
      <c r="B284" s="11" t="s">
        <v>249</v>
      </c>
      <c r="C284" s="11" t="s">
        <v>2327</v>
      </c>
      <c r="D284" s="153">
        <v>42184</v>
      </c>
      <c r="E284" s="153" t="s">
        <v>2580</v>
      </c>
    </row>
    <row r="285" spans="1:5">
      <c r="A285" s="11">
        <v>10701526</v>
      </c>
      <c r="B285" s="11" t="s">
        <v>263</v>
      </c>
      <c r="C285" s="11" t="s">
        <v>2328</v>
      </c>
      <c r="D285" s="153">
        <v>42619</v>
      </c>
      <c r="E285" s="153" t="s">
        <v>2490</v>
      </c>
    </row>
    <row r="286" spans="1:5">
      <c r="A286" s="11">
        <v>10706533</v>
      </c>
      <c r="B286" s="11" t="s">
        <v>399</v>
      </c>
      <c r="C286" s="11" t="s">
        <v>2300</v>
      </c>
      <c r="D286" s="153">
        <v>42678</v>
      </c>
      <c r="E286" s="153" t="s">
        <v>2573</v>
      </c>
    </row>
    <row r="287" spans="1:5">
      <c r="A287" s="11">
        <v>10708627</v>
      </c>
      <c r="B287" s="11" t="s">
        <v>243</v>
      </c>
      <c r="C287" s="11" t="s">
        <v>2319</v>
      </c>
      <c r="D287" s="153">
        <v>42746</v>
      </c>
    </row>
    <row r="288" spans="1:5">
      <c r="A288" s="11">
        <v>10708622</v>
      </c>
      <c r="B288" s="11" t="s">
        <v>276</v>
      </c>
      <c r="C288" s="11" t="s">
        <v>2329</v>
      </c>
      <c r="D288" s="153">
        <v>42746</v>
      </c>
      <c r="E288" s="153" t="s">
        <v>2478</v>
      </c>
    </row>
    <row r="289" spans="1:5">
      <c r="A289" s="11">
        <v>10669961</v>
      </c>
      <c r="B289" s="11" t="s">
        <v>239</v>
      </c>
      <c r="C289" s="11" t="s">
        <v>2330</v>
      </c>
      <c r="D289" s="153">
        <v>41449</v>
      </c>
    </row>
    <row r="290" spans="1:5">
      <c r="A290" s="11">
        <v>10693646</v>
      </c>
      <c r="B290" s="11" t="s">
        <v>262</v>
      </c>
      <c r="C290" s="11" t="s">
        <v>2331</v>
      </c>
      <c r="D290" s="153">
        <v>42359</v>
      </c>
    </row>
    <row r="291" spans="1:5">
      <c r="A291" s="11">
        <v>10701560</v>
      </c>
      <c r="B291" s="11" t="s">
        <v>273</v>
      </c>
      <c r="C291" s="11" t="s">
        <v>2332</v>
      </c>
      <c r="D291" s="153">
        <v>42555</v>
      </c>
    </row>
    <row r="292" spans="1:5">
      <c r="A292" s="11">
        <v>10706380</v>
      </c>
      <c r="B292" s="11" t="s">
        <v>365</v>
      </c>
      <c r="C292" s="11" t="s">
        <v>2333</v>
      </c>
      <c r="D292" s="153">
        <v>42675</v>
      </c>
      <c r="E292" s="153" t="s">
        <v>2529</v>
      </c>
    </row>
    <row r="293" spans="1:5">
      <c r="A293" s="11">
        <v>10685207</v>
      </c>
      <c r="B293" s="11" t="s">
        <v>250</v>
      </c>
      <c r="C293" s="11" t="s">
        <v>2334</v>
      </c>
      <c r="D293" s="153">
        <v>42107</v>
      </c>
      <c r="E293" s="153" t="s">
        <v>2581</v>
      </c>
    </row>
    <row r="294" spans="1:5">
      <c r="A294" s="11">
        <v>10701570</v>
      </c>
      <c r="B294" s="11" t="s">
        <v>366</v>
      </c>
      <c r="C294" s="11" t="s">
        <v>2335</v>
      </c>
      <c r="D294" s="153">
        <v>42555</v>
      </c>
      <c r="E294" s="153" t="s">
        <v>2490</v>
      </c>
    </row>
    <row r="295" spans="1:5">
      <c r="A295" s="11">
        <v>10670528</v>
      </c>
      <c r="B295" s="11" t="s">
        <v>247</v>
      </c>
      <c r="C295" s="11" t="s">
        <v>2336</v>
      </c>
      <c r="D295" s="153">
        <v>41484</v>
      </c>
      <c r="E295" s="153" t="s">
        <v>2554</v>
      </c>
    </row>
    <row r="296" spans="1:5">
      <c r="A296" s="11">
        <v>10693130</v>
      </c>
      <c r="B296" s="11" t="s">
        <v>255</v>
      </c>
      <c r="C296" s="11" t="s">
        <v>2337</v>
      </c>
      <c r="D296" s="153">
        <v>42338</v>
      </c>
      <c r="E296" s="153" t="s">
        <v>2582</v>
      </c>
    </row>
    <row r="297" spans="1:5">
      <c r="A297" s="11">
        <v>10708862</v>
      </c>
      <c r="B297" s="11" t="s">
        <v>341</v>
      </c>
      <c r="C297" s="11" t="s">
        <v>2338</v>
      </c>
      <c r="D297" s="153">
        <v>42758</v>
      </c>
      <c r="E297" s="153" t="s">
        <v>2530</v>
      </c>
    </row>
    <row r="298" spans="1:5">
      <c r="A298" s="11">
        <v>10669940</v>
      </c>
      <c r="B298" s="11" t="s">
        <v>240</v>
      </c>
      <c r="C298" s="11" t="s">
        <v>2339</v>
      </c>
      <c r="D298" s="153">
        <v>41449</v>
      </c>
    </row>
    <row r="299" spans="1:5">
      <c r="A299" s="11">
        <v>10706954</v>
      </c>
      <c r="B299" s="11" t="s">
        <v>271</v>
      </c>
      <c r="C299" s="11" t="s">
        <v>2340</v>
      </c>
      <c r="D299" s="153">
        <v>42684</v>
      </c>
      <c r="E299" s="153" t="s">
        <v>2530</v>
      </c>
    </row>
    <row r="300" spans="1:5">
      <c r="A300" s="11">
        <v>10713476</v>
      </c>
      <c r="B300" s="11" t="s">
        <v>2025</v>
      </c>
      <c r="C300" s="11" t="s">
        <v>2361</v>
      </c>
      <c r="D300" s="153">
        <v>42891</v>
      </c>
      <c r="E300" s="153" t="s">
        <v>2538</v>
      </c>
    </row>
    <row r="301" spans="1:5">
      <c r="A301" s="11">
        <v>10712981</v>
      </c>
      <c r="B301" s="11" t="s">
        <v>2021</v>
      </c>
      <c r="C301" s="11" t="s">
        <v>2357</v>
      </c>
      <c r="D301" s="153">
        <v>42877</v>
      </c>
      <c r="E301" s="153" t="s">
        <v>2545</v>
      </c>
    </row>
    <row r="302" spans="1:5">
      <c r="A302" s="11">
        <v>10714709</v>
      </c>
      <c r="B302" s="11" t="s">
        <v>2022</v>
      </c>
      <c r="C302" s="11" t="s">
        <v>2358</v>
      </c>
      <c r="D302" s="153">
        <v>42905</v>
      </c>
      <c r="E302" s="153" t="s">
        <v>2567</v>
      </c>
    </row>
    <row r="303" spans="1:5">
      <c r="A303" s="11">
        <v>10714911</v>
      </c>
      <c r="B303" s="11" t="s">
        <v>2006</v>
      </c>
      <c r="C303" s="11" t="s">
        <v>2285</v>
      </c>
      <c r="D303" s="153">
        <v>42905</v>
      </c>
      <c r="E303" s="153" t="s">
        <v>2567</v>
      </c>
    </row>
    <row r="304" spans="1:5">
      <c r="A304" s="11">
        <v>10718949</v>
      </c>
      <c r="B304" s="11" t="s">
        <v>2751</v>
      </c>
      <c r="C304" s="11" t="s">
        <v>2384</v>
      </c>
      <c r="D304" s="153">
        <v>43045</v>
      </c>
      <c r="E304" s="153" t="s">
        <v>2585</v>
      </c>
    </row>
    <row r="305" spans="1:5">
      <c r="A305" s="11">
        <v>10706922</v>
      </c>
      <c r="B305" s="11" t="s">
        <v>302</v>
      </c>
      <c r="C305" s="11" t="s">
        <v>2375</v>
      </c>
      <c r="D305" s="153">
        <v>42681</v>
      </c>
      <c r="E305" s="153" t="s">
        <v>2528</v>
      </c>
    </row>
    <row r="306" spans="1:5">
      <c r="A306" s="11">
        <v>10712713</v>
      </c>
      <c r="B306" s="11" t="s">
        <v>2013</v>
      </c>
      <c r="C306" s="11" t="s">
        <v>2345</v>
      </c>
      <c r="D306" s="153">
        <v>43080</v>
      </c>
      <c r="E306" s="153" t="s">
        <v>2568</v>
      </c>
    </row>
    <row r="307" spans="1:5">
      <c r="A307" s="11">
        <v>10016532</v>
      </c>
      <c r="B307" s="11" t="s">
        <v>352</v>
      </c>
      <c r="C307" s="11" t="s">
        <v>2291</v>
      </c>
      <c r="D307" s="153">
        <v>39316</v>
      </c>
      <c r="E307" s="153" t="s">
        <v>2499</v>
      </c>
    </row>
    <row r="308" spans="1:5">
      <c r="A308" s="11">
        <v>10710738</v>
      </c>
      <c r="B308" s="11" t="s">
        <v>379</v>
      </c>
      <c r="C308" s="11" t="s">
        <v>2230</v>
      </c>
      <c r="D308" s="153">
        <v>42802</v>
      </c>
      <c r="E308" s="153" t="s">
        <v>2519</v>
      </c>
    </row>
    <row r="309" spans="1:5">
      <c r="A309" s="11">
        <v>10680672</v>
      </c>
      <c r="B309" s="11" t="s">
        <v>364</v>
      </c>
      <c r="C309" s="11" t="s">
        <v>2292</v>
      </c>
      <c r="D309" s="153">
        <v>41932</v>
      </c>
      <c r="E309" s="153" t="s">
        <v>2506</v>
      </c>
    </row>
    <row r="310" spans="1:5">
      <c r="A310" s="11">
        <v>10707001</v>
      </c>
      <c r="B310" s="11" t="s">
        <v>311</v>
      </c>
      <c r="C310" s="11" t="s">
        <v>2343</v>
      </c>
      <c r="D310" s="153">
        <v>42688</v>
      </c>
      <c r="E310" s="153" t="s">
        <v>2509</v>
      </c>
    </row>
    <row r="311" spans="1:5">
      <c r="A311" s="11">
        <v>10713586</v>
      </c>
      <c r="B311" s="11" t="s">
        <v>1992</v>
      </c>
      <c r="C311" s="11" t="s">
        <v>2231</v>
      </c>
      <c r="D311" s="153">
        <v>42898</v>
      </c>
      <c r="E311" s="153" t="s">
        <v>2564</v>
      </c>
    </row>
    <row r="312" spans="1:5">
      <c r="A312" s="11">
        <v>10698327</v>
      </c>
      <c r="B312" s="11" t="s">
        <v>305</v>
      </c>
      <c r="C312" s="11" t="s">
        <v>2353</v>
      </c>
      <c r="D312" s="153">
        <v>42478</v>
      </c>
      <c r="E312" s="153" t="s">
        <v>2513</v>
      </c>
    </row>
    <row r="313" spans="1:5">
      <c r="A313" s="11">
        <v>10713471</v>
      </c>
      <c r="B313" s="11" t="s">
        <v>2016</v>
      </c>
      <c r="C313" s="11" t="s">
        <v>2348</v>
      </c>
      <c r="D313" s="153">
        <v>42891</v>
      </c>
      <c r="E313" s="153" t="s">
        <v>2574</v>
      </c>
    </row>
    <row r="314" spans="1:5">
      <c r="A314" s="11">
        <v>10705572</v>
      </c>
      <c r="B314" s="11" t="s">
        <v>405</v>
      </c>
      <c r="C314" s="11" t="s">
        <v>2354</v>
      </c>
      <c r="D314" s="153">
        <v>42660</v>
      </c>
      <c r="E314" s="153" t="s">
        <v>2561</v>
      </c>
    </row>
    <row r="315" spans="1:5">
      <c r="A315" s="11">
        <v>10706121</v>
      </c>
      <c r="B315" s="11" t="s">
        <v>384</v>
      </c>
      <c r="C315" s="11" t="s">
        <v>2228</v>
      </c>
      <c r="D315" s="153">
        <v>42674</v>
      </c>
      <c r="E315" s="153" t="s">
        <v>2562</v>
      </c>
    </row>
    <row r="316" spans="1:5">
      <c r="A316" s="11">
        <v>10714842</v>
      </c>
      <c r="B316" s="11" t="s">
        <v>2024</v>
      </c>
      <c r="C316" s="11" t="s">
        <v>2360</v>
      </c>
      <c r="D316" s="153">
        <v>42905</v>
      </c>
      <c r="E316" s="153" t="s">
        <v>2549</v>
      </c>
    </row>
    <row r="317" spans="1:5">
      <c r="A317" s="11">
        <v>10713939</v>
      </c>
      <c r="B317" s="11" t="s">
        <v>2026</v>
      </c>
      <c r="C317" s="11" t="s">
        <v>2362</v>
      </c>
      <c r="D317" s="153">
        <v>42898</v>
      </c>
      <c r="E317" s="153" t="s">
        <v>2550</v>
      </c>
    </row>
    <row r="318" spans="1:5">
      <c r="A318" s="11">
        <v>10713432</v>
      </c>
      <c r="B318" s="11" t="s">
        <v>2027</v>
      </c>
      <c r="C318" s="11" t="s">
        <v>2363</v>
      </c>
      <c r="D318" s="153">
        <v>42891</v>
      </c>
      <c r="E318" s="153" t="s">
        <v>2538</v>
      </c>
    </row>
    <row r="319" spans="1:5">
      <c r="A319" s="11">
        <v>10712983</v>
      </c>
      <c r="B319" s="11" t="s">
        <v>2018</v>
      </c>
      <c r="C319" s="11" t="s">
        <v>2350</v>
      </c>
      <c r="D319" s="153">
        <v>42877</v>
      </c>
      <c r="E319" s="153" t="s">
        <v>2563</v>
      </c>
    </row>
    <row r="320" spans="1:5">
      <c r="A320" s="11">
        <v>10707173</v>
      </c>
      <c r="B320" s="11" t="s">
        <v>2752</v>
      </c>
      <c r="C320" s="11" t="s">
        <v>2356</v>
      </c>
      <c r="D320" s="153">
        <v>42688</v>
      </c>
      <c r="E320" s="153" t="s">
        <v>2583</v>
      </c>
    </row>
    <row r="321" spans="1:5">
      <c r="A321" s="11">
        <v>10713027</v>
      </c>
      <c r="B321" s="11" t="s">
        <v>2028</v>
      </c>
      <c r="C321" s="11" t="s">
        <v>2364</v>
      </c>
      <c r="D321" s="153">
        <v>42877</v>
      </c>
      <c r="E321" s="153" t="s">
        <v>2563</v>
      </c>
    </row>
    <row r="322" spans="1:5">
      <c r="A322" s="11">
        <v>10713076</v>
      </c>
      <c r="B322" s="11" t="s">
        <v>2002</v>
      </c>
      <c r="C322" s="11" t="s">
        <v>2281</v>
      </c>
      <c r="D322" s="153">
        <v>42891</v>
      </c>
      <c r="E322" s="153" t="s">
        <v>2574</v>
      </c>
    </row>
    <row r="323" spans="1:5">
      <c r="A323" s="11">
        <v>10713719</v>
      </c>
      <c r="B323" s="11" t="s">
        <v>2030</v>
      </c>
      <c r="C323" s="11" t="s">
        <v>2366</v>
      </c>
      <c r="D323" s="153">
        <v>42898</v>
      </c>
      <c r="E323" s="153" t="s">
        <v>2550</v>
      </c>
    </row>
    <row r="324" spans="1:5">
      <c r="A324" s="11">
        <v>10706830</v>
      </c>
      <c r="B324" s="11" t="s">
        <v>406</v>
      </c>
      <c r="C324" s="11" t="s">
        <v>2341</v>
      </c>
      <c r="D324" s="153">
        <v>42681</v>
      </c>
      <c r="E324" s="153" t="s">
        <v>2493</v>
      </c>
    </row>
    <row r="325" spans="1:5">
      <c r="A325" s="11">
        <v>10706239</v>
      </c>
      <c r="B325" s="11" t="s">
        <v>385</v>
      </c>
      <c r="C325" s="11" t="s">
        <v>2355</v>
      </c>
      <c r="D325" s="153">
        <v>42674</v>
      </c>
      <c r="E325" s="153" t="s">
        <v>2583</v>
      </c>
    </row>
    <row r="326" spans="1:5">
      <c r="A326" s="11">
        <v>10706827</v>
      </c>
      <c r="B326" s="11" t="s">
        <v>407</v>
      </c>
      <c r="C326" s="11" t="s">
        <v>2342</v>
      </c>
      <c r="D326" s="153">
        <v>42681</v>
      </c>
      <c r="E326" s="153" t="s">
        <v>2493</v>
      </c>
    </row>
    <row r="327" spans="1:5">
      <c r="A327" s="11">
        <v>10713578</v>
      </c>
      <c r="B327" s="11" t="s">
        <v>1993</v>
      </c>
      <c r="C327" s="11" t="s">
        <v>2237</v>
      </c>
      <c r="D327" s="153">
        <v>42898</v>
      </c>
      <c r="E327" s="153" t="s">
        <v>2550</v>
      </c>
    </row>
    <row r="328" spans="1:5">
      <c r="A328" s="11">
        <v>10719248</v>
      </c>
      <c r="B328" s="11" t="s">
        <v>2753</v>
      </c>
      <c r="C328" s="11" t="s">
        <v>2396</v>
      </c>
      <c r="D328" s="153">
        <v>43052</v>
      </c>
      <c r="E328" s="153" t="s">
        <v>2586</v>
      </c>
    </row>
    <row r="329" spans="1:5">
      <c r="A329" s="11">
        <v>10705888</v>
      </c>
      <c r="B329" s="11" t="s">
        <v>2754</v>
      </c>
      <c r="C329" s="11" t="s">
        <v>2054</v>
      </c>
      <c r="D329" s="153">
        <v>42667</v>
      </c>
      <c r="E329" s="153" t="s">
        <v>2482</v>
      </c>
    </row>
    <row r="330" spans="1:5">
      <c r="A330" s="11">
        <v>10015480</v>
      </c>
      <c r="B330" s="11" t="s">
        <v>299</v>
      </c>
      <c r="C330" s="11" t="s">
        <v>2367</v>
      </c>
      <c r="D330" s="153">
        <v>39286</v>
      </c>
      <c r="E330" s="153" t="s">
        <v>2517</v>
      </c>
    </row>
    <row r="331" spans="1:5">
      <c r="A331" s="11">
        <v>10670159</v>
      </c>
      <c r="B331" s="11" t="s">
        <v>297</v>
      </c>
      <c r="C331" s="11" t="s">
        <v>2369</v>
      </c>
      <c r="D331" s="153">
        <v>41463</v>
      </c>
      <c r="E331" s="153" t="s">
        <v>2480</v>
      </c>
    </row>
    <row r="332" spans="1:5">
      <c r="A332" s="11">
        <v>10680123</v>
      </c>
      <c r="B332" s="11" t="s">
        <v>296</v>
      </c>
      <c r="C332" s="11" t="s">
        <v>2370</v>
      </c>
      <c r="D332" s="153">
        <v>41918</v>
      </c>
      <c r="E332" s="153" t="s">
        <v>2524</v>
      </c>
    </row>
    <row r="333" spans="1:5">
      <c r="A333" s="11">
        <v>10683540</v>
      </c>
      <c r="B333" s="11" t="s">
        <v>308</v>
      </c>
      <c r="C333" s="11" t="s">
        <v>2371</v>
      </c>
      <c r="D333" s="153">
        <v>42051</v>
      </c>
      <c r="E333" s="153" t="s">
        <v>2555</v>
      </c>
    </row>
    <row r="334" spans="1:5">
      <c r="A334" s="11">
        <v>10715045</v>
      </c>
      <c r="B334" s="11" t="s">
        <v>2040</v>
      </c>
      <c r="C334" s="11" t="s">
        <v>2399</v>
      </c>
      <c r="D334" s="153">
        <v>43088</v>
      </c>
      <c r="E334" s="153" t="s">
        <v>2587</v>
      </c>
    </row>
    <row r="335" spans="1:5">
      <c r="A335" s="11">
        <v>10706395</v>
      </c>
      <c r="B335" s="11" t="s">
        <v>312</v>
      </c>
      <c r="C335" s="11" t="s">
        <v>2373</v>
      </c>
      <c r="D335" s="153">
        <v>42675</v>
      </c>
      <c r="E335" s="153" t="s">
        <v>2478</v>
      </c>
    </row>
    <row r="336" spans="1:5">
      <c r="A336" s="11">
        <v>10706535</v>
      </c>
      <c r="B336" s="11" t="s">
        <v>322</v>
      </c>
      <c r="C336" s="11" t="s">
        <v>2374</v>
      </c>
      <c r="D336" s="153">
        <v>42678</v>
      </c>
      <c r="E336" s="153" t="s">
        <v>2485</v>
      </c>
    </row>
    <row r="337" spans="1:5">
      <c r="A337" s="11">
        <v>10710748</v>
      </c>
      <c r="B337" s="11" t="s">
        <v>323</v>
      </c>
      <c r="C337" s="11" t="s">
        <v>2377</v>
      </c>
      <c r="D337" s="153">
        <v>42821</v>
      </c>
      <c r="E337" s="153" t="s">
        <v>2526</v>
      </c>
    </row>
    <row r="338" spans="1:5">
      <c r="A338" s="11">
        <v>10710747</v>
      </c>
      <c r="B338" s="11" t="s">
        <v>324</v>
      </c>
      <c r="C338" s="11" t="s">
        <v>2378</v>
      </c>
      <c r="D338" s="153">
        <v>42821</v>
      </c>
      <c r="E338" s="153" t="s">
        <v>2477</v>
      </c>
    </row>
    <row r="339" spans="1:5">
      <c r="A339" s="11">
        <v>10712974</v>
      </c>
      <c r="B339" s="11" t="s">
        <v>2031</v>
      </c>
      <c r="C339" s="11" t="s">
        <v>2379</v>
      </c>
      <c r="D339" s="153">
        <v>42877</v>
      </c>
      <c r="E339" s="153" t="s">
        <v>2545</v>
      </c>
    </row>
    <row r="340" spans="1:5">
      <c r="A340" s="11">
        <v>10670547</v>
      </c>
      <c r="B340" s="11" t="s">
        <v>1815</v>
      </c>
      <c r="C340" s="11" t="s">
        <v>2120</v>
      </c>
      <c r="D340" s="153">
        <v>41484</v>
      </c>
      <c r="E340" s="153" t="s">
        <v>2537</v>
      </c>
    </row>
    <row r="341" spans="1:5">
      <c r="A341" s="11">
        <v>10714542</v>
      </c>
      <c r="B341" s="11" t="s">
        <v>1952</v>
      </c>
      <c r="C341" s="11" t="s">
        <v>2061</v>
      </c>
      <c r="D341" s="153">
        <v>42912</v>
      </c>
      <c r="E341" s="153" t="s">
        <v>2498</v>
      </c>
    </row>
    <row r="342" spans="1:5">
      <c r="A342" s="11">
        <v>10712832</v>
      </c>
      <c r="B342" s="11" t="s">
        <v>2033</v>
      </c>
      <c r="C342" s="11" t="s">
        <v>2381</v>
      </c>
      <c r="D342" s="153">
        <v>43080</v>
      </c>
      <c r="E342" s="153" t="s">
        <v>2568</v>
      </c>
    </row>
    <row r="343" spans="1:5">
      <c r="A343" s="11">
        <v>10714907</v>
      </c>
      <c r="B343" s="11" t="s">
        <v>2755</v>
      </c>
      <c r="C343" s="11" t="s">
        <v>2368</v>
      </c>
      <c r="D343" s="153">
        <v>43081</v>
      </c>
      <c r="E343" s="153" t="s">
        <v>2569</v>
      </c>
    </row>
    <row r="344" spans="1:5">
      <c r="A344" s="11">
        <v>10712722</v>
      </c>
      <c r="B344" s="11" t="s">
        <v>2034</v>
      </c>
      <c r="C344" s="11" t="s">
        <v>2382</v>
      </c>
      <c r="D344" s="153">
        <v>43080</v>
      </c>
      <c r="E344" s="153" t="s">
        <v>2568</v>
      </c>
    </row>
    <row r="345" spans="1:5">
      <c r="A345" s="11">
        <v>10718968</v>
      </c>
      <c r="B345" s="11" t="s">
        <v>2756</v>
      </c>
      <c r="C345" s="11" t="s">
        <v>2397</v>
      </c>
      <c r="D345" s="153">
        <v>43052</v>
      </c>
      <c r="E345" s="153" t="s">
        <v>2586</v>
      </c>
    </row>
    <row r="346" spans="1:5">
      <c r="A346" s="11">
        <v>10652835</v>
      </c>
      <c r="B346" s="11" t="s">
        <v>2757</v>
      </c>
      <c r="C346" s="11" t="s">
        <v>2721</v>
      </c>
      <c r="D346" s="153" t="s">
        <v>2764</v>
      </c>
      <c r="E346" s="153" t="s">
        <v>2764</v>
      </c>
    </row>
    <row r="347" spans="1:5">
      <c r="A347" s="11">
        <v>10710746</v>
      </c>
      <c r="B347" s="11" t="s">
        <v>282</v>
      </c>
      <c r="C347" s="11" t="s">
        <v>2180</v>
      </c>
      <c r="D347" s="153">
        <v>42821</v>
      </c>
      <c r="E347" s="153" t="s">
        <v>2485</v>
      </c>
    </row>
    <row r="348" spans="1:5">
      <c r="A348" s="11">
        <v>10705696</v>
      </c>
      <c r="B348" s="11" t="s">
        <v>402</v>
      </c>
      <c r="C348" s="11" t="s">
        <v>2182</v>
      </c>
      <c r="D348" s="153">
        <v>42661</v>
      </c>
      <c r="E348" s="153" t="s">
        <v>2533</v>
      </c>
    </row>
    <row r="349" spans="1:5">
      <c r="A349" s="11">
        <v>10715096</v>
      </c>
      <c r="B349" s="11" t="s">
        <v>2758</v>
      </c>
      <c r="C349" s="11" t="s">
        <v>2393</v>
      </c>
      <c r="D349" s="153">
        <v>42912</v>
      </c>
      <c r="E349" s="153" t="s">
        <v>2492</v>
      </c>
    </row>
    <row r="350" spans="1:5">
      <c r="A350" s="11">
        <v>10712449</v>
      </c>
      <c r="B350" s="11" t="s">
        <v>2038</v>
      </c>
      <c r="C350" s="11" t="s">
        <v>2391</v>
      </c>
      <c r="D350" s="153">
        <v>43088</v>
      </c>
      <c r="E350" s="153" t="s">
        <v>2584</v>
      </c>
    </row>
    <row r="351" spans="1:5">
      <c r="A351" s="11">
        <v>10718914</v>
      </c>
      <c r="B351" s="11" t="s">
        <v>2759</v>
      </c>
      <c r="C351" s="11" t="s">
        <v>2405</v>
      </c>
      <c r="D351" s="153">
        <v>43045</v>
      </c>
      <c r="E351" s="153" t="s">
        <v>2486</v>
      </c>
    </row>
    <row r="352" spans="1:5">
      <c r="A352" s="11">
        <v>10719242</v>
      </c>
      <c r="B352" s="11" t="s">
        <v>2760</v>
      </c>
      <c r="C352" s="11" t="s">
        <v>2398</v>
      </c>
      <c r="D352" s="153">
        <v>43052</v>
      </c>
      <c r="E352" s="153" t="s">
        <v>2586</v>
      </c>
    </row>
    <row r="353" spans="1:5">
      <c r="A353" s="11">
        <v>10718906</v>
      </c>
      <c r="B353" s="11" t="s">
        <v>2761</v>
      </c>
      <c r="C353" s="11" t="s">
        <v>2385</v>
      </c>
      <c r="D353" s="153">
        <v>43045</v>
      </c>
      <c r="E353" s="153" t="s">
        <v>2585</v>
      </c>
    </row>
    <row r="354" spans="1:5">
      <c r="A354" s="11">
        <v>10037273</v>
      </c>
      <c r="B354" s="11" t="s">
        <v>1811</v>
      </c>
      <c r="C354" s="11" t="s">
        <v>2121</v>
      </c>
      <c r="D354" s="153">
        <v>41176</v>
      </c>
      <c r="E354" s="153" t="s">
        <v>2517</v>
      </c>
    </row>
    <row r="355" spans="1:5">
      <c r="A355" s="11">
        <v>10706377</v>
      </c>
      <c r="B355" s="11" t="s">
        <v>351</v>
      </c>
      <c r="C355" s="11" t="s">
        <v>2110</v>
      </c>
      <c r="D355" s="153">
        <v>42675</v>
      </c>
      <c r="E355" s="153" t="s">
        <v>2531</v>
      </c>
    </row>
    <row r="356" spans="1:5">
      <c r="A356" s="11">
        <v>10665737</v>
      </c>
      <c r="B356" s="11" t="s">
        <v>1816</v>
      </c>
      <c r="C356" s="11" t="s">
        <v>2111</v>
      </c>
      <c r="D356" s="153">
        <v>43197</v>
      </c>
      <c r="E356" s="153" t="s">
        <v>2532</v>
      </c>
    </row>
    <row r="357" spans="1:5">
      <c r="A357" s="11">
        <v>10709831</v>
      </c>
      <c r="B357" s="11" t="s">
        <v>1649</v>
      </c>
      <c r="C357" s="11" t="s">
        <v>2376</v>
      </c>
      <c r="D357" s="153">
        <v>42776</v>
      </c>
      <c r="E357" s="153" t="s">
        <v>2539</v>
      </c>
    </row>
    <row r="358" spans="1:5">
      <c r="A358" s="11">
        <v>10715043</v>
      </c>
      <c r="B358" s="11" t="s">
        <v>2041</v>
      </c>
      <c r="C358" s="11" t="s">
        <v>2400</v>
      </c>
      <c r="D358" s="153">
        <v>43088</v>
      </c>
      <c r="E358" s="153" t="s">
        <v>2587</v>
      </c>
    </row>
    <row r="359" spans="1:5">
      <c r="A359" s="11">
        <v>10715060</v>
      </c>
      <c r="B359" s="11" t="s">
        <v>2042</v>
      </c>
      <c r="C359" s="11" t="s">
        <v>2401</v>
      </c>
      <c r="D359" s="153">
        <v>43088</v>
      </c>
      <c r="E359" s="153" t="s">
        <v>2587</v>
      </c>
    </row>
    <row r="360" spans="1:5">
      <c r="A360" s="11">
        <v>10707784</v>
      </c>
      <c r="B360" s="11" t="s">
        <v>1650</v>
      </c>
      <c r="C360" s="11" t="s">
        <v>2402</v>
      </c>
      <c r="D360" s="153">
        <v>43088</v>
      </c>
      <c r="E360" s="153" t="s">
        <v>2587</v>
      </c>
    </row>
    <row r="361" spans="1:5">
      <c r="A361" s="11">
        <v>10714218</v>
      </c>
      <c r="B361" s="11" t="s">
        <v>1995</v>
      </c>
      <c r="C361" s="11" t="s">
        <v>2239</v>
      </c>
      <c r="D361" s="153">
        <v>42905</v>
      </c>
      <c r="E361" s="153" t="s">
        <v>2567</v>
      </c>
    </row>
    <row r="362" spans="1:5">
      <c r="A362" s="11">
        <v>10698335</v>
      </c>
      <c r="B362" s="11" t="s">
        <v>290</v>
      </c>
      <c r="C362" s="11" t="s">
        <v>2114</v>
      </c>
      <c r="D362" s="153">
        <v>42478</v>
      </c>
    </row>
    <row r="363" spans="1:5">
      <c r="A363" s="11">
        <v>10705575</v>
      </c>
      <c r="B363" s="11" t="s">
        <v>404</v>
      </c>
      <c r="C363" s="11" t="s">
        <v>2115</v>
      </c>
      <c r="D363" s="153">
        <v>42660</v>
      </c>
      <c r="E363" s="153" t="s">
        <v>2533</v>
      </c>
    </row>
    <row r="364" spans="1:5">
      <c r="A364" s="11">
        <v>10714825</v>
      </c>
      <c r="B364" s="11" t="s">
        <v>1959</v>
      </c>
      <c r="C364" s="11" t="s">
        <v>2116</v>
      </c>
      <c r="D364" s="153">
        <v>42905</v>
      </c>
      <c r="E364" s="153" t="s">
        <v>2534</v>
      </c>
    </row>
    <row r="365" spans="1:5">
      <c r="A365" s="11">
        <v>10710243</v>
      </c>
      <c r="B365" s="11" t="s">
        <v>346</v>
      </c>
      <c r="C365" s="11" t="s">
        <v>2118</v>
      </c>
      <c r="D365" s="153">
        <v>42800</v>
      </c>
      <c r="E365" s="153" t="s">
        <v>2536</v>
      </c>
    </row>
    <row r="366" spans="1:5">
      <c r="A366" s="11">
        <v>10705541</v>
      </c>
      <c r="B366" s="11" t="s">
        <v>1570</v>
      </c>
      <c r="C366" s="11" t="s">
        <v>2219</v>
      </c>
      <c r="D366" s="153">
        <v>42660</v>
      </c>
      <c r="E366" s="153" t="s">
        <v>2533</v>
      </c>
    </row>
    <row r="367" spans="1:5">
      <c r="A367" s="11">
        <v>10713048</v>
      </c>
      <c r="B367" s="11" t="s">
        <v>2029</v>
      </c>
      <c r="C367" s="11" t="s">
        <v>2365</v>
      </c>
      <c r="D367" s="153">
        <v>42877</v>
      </c>
      <c r="E367" s="153" t="s">
        <v>2563</v>
      </c>
    </row>
    <row r="368" spans="1:5">
      <c r="A368" s="11">
        <v>10713521</v>
      </c>
      <c r="B368" s="11" t="s">
        <v>2035</v>
      </c>
      <c r="C368" s="11" t="s">
        <v>2386</v>
      </c>
      <c r="D368" s="153">
        <v>42898</v>
      </c>
      <c r="E368" s="153" t="s">
        <v>2550</v>
      </c>
    </row>
    <row r="369" spans="1:5">
      <c r="A369" s="11">
        <v>10665311</v>
      </c>
      <c r="B369" s="11" t="s">
        <v>267</v>
      </c>
      <c r="C369" s="11" t="s">
        <v>2390</v>
      </c>
      <c r="D369" s="153">
        <v>41232</v>
      </c>
    </row>
    <row r="370" spans="1:5">
      <c r="A370" s="11">
        <v>10709836</v>
      </c>
      <c r="B370" s="11" t="s">
        <v>353</v>
      </c>
      <c r="C370" s="11" t="s">
        <v>2171</v>
      </c>
      <c r="D370" s="153">
        <v>42779</v>
      </c>
      <c r="E370" s="153" t="s">
        <v>2476</v>
      </c>
    </row>
    <row r="371" spans="1:5">
      <c r="A371" s="11">
        <v>10706916</v>
      </c>
      <c r="B371" s="11" t="s">
        <v>367</v>
      </c>
      <c r="C371" s="11" t="s">
        <v>2066</v>
      </c>
      <c r="D371" s="153">
        <v>43088</v>
      </c>
      <c r="E371" s="153" t="s">
        <v>2502</v>
      </c>
    </row>
    <row r="372" spans="1:5">
      <c r="A372" s="11">
        <v>10719247</v>
      </c>
      <c r="B372" s="11" t="s">
        <v>2762</v>
      </c>
      <c r="C372" s="11">
        <v>0</v>
      </c>
      <c r="D372" s="153">
        <v>43052</v>
      </c>
      <c r="E372" s="153" t="s">
        <v>2586</v>
      </c>
    </row>
    <row r="373" spans="1:5">
      <c r="A373" s="11">
        <v>10708542</v>
      </c>
      <c r="B373" s="11" t="s">
        <v>2711</v>
      </c>
      <c r="C373" s="11" t="s">
        <v>2721</v>
      </c>
      <c r="D373" s="153">
        <v>42744</v>
      </c>
      <c r="E373" s="153" t="s">
        <v>2724</v>
      </c>
    </row>
    <row r="374" spans="1:5">
      <c r="A374" s="11">
        <v>10708181</v>
      </c>
      <c r="B374" s="11" t="s">
        <v>2712</v>
      </c>
      <c r="D374" s="153">
        <v>42709</v>
      </c>
      <c r="E374" s="153" t="s">
        <v>2725</v>
      </c>
    </row>
    <row r="375" spans="1:5">
      <c r="A375" s="11">
        <v>10665655</v>
      </c>
      <c r="B375" s="11" t="s">
        <v>2713</v>
      </c>
      <c r="D375" s="153">
        <v>41246</v>
      </c>
      <c r="E375" s="153" t="s">
        <v>2726</v>
      </c>
    </row>
    <row r="376" spans="1:5">
      <c r="A376" s="11">
        <v>10707977</v>
      </c>
      <c r="B376" s="11" t="s">
        <v>2714</v>
      </c>
      <c r="D376" s="153">
        <v>42702</v>
      </c>
      <c r="E376" s="153" t="s">
        <v>2727</v>
      </c>
    </row>
    <row r="377" spans="1:5">
      <c r="A377" s="11">
        <v>10700890</v>
      </c>
      <c r="B377" s="11" t="s">
        <v>2715</v>
      </c>
      <c r="D377" s="153">
        <v>42541</v>
      </c>
      <c r="E377" s="153" t="s">
        <v>2728</v>
      </c>
    </row>
    <row r="378" spans="1:5">
      <c r="A378" s="11">
        <v>10683386</v>
      </c>
      <c r="B378" s="11" t="s">
        <v>2716</v>
      </c>
      <c r="D378" s="153">
        <v>42044</v>
      </c>
      <c r="E378" s="153" t="s">
        <v>2729</v>
      </c>
    </row>
    <row r="379" spans="1:5">
      <c r="A379" s="11">
        <v>10660613</v>
      </c>
      <c r="B379" s="11" t="s">
        <v>2763</v>
      </c>
      <c r="D379" s="153">
        <v>40980</v>
      </c>
      <c r="E379" s="153" t="s">
        <v>2765</v>
      </c>
    </row>
    <row r="380" spans="1:5">
      <c r="A380" s="11">
        <v>10672603</v>
      </c>
      <c r="B380" s="11" t="s">
        <v>2717</v>
      </c>
      <c r="D380" s="153">
        <v>41645</v>
      </c>
      <c r="E380" s="153" t="s">
        <v>2726</v>
      </c>
    </row>
    <row r="381" spans="1:5">
      <c r="A381" s="11">
        <v>10688094</v>
      </c>
      <c r="B381" s="11" t="s">
        <v>2718</v>
      </c>
      <c r="D381" s="153">
        <v>42170</v>
      </c>
      <c r="E381" s="153" t="s">
        <v>2730</v>
      </c>
    </row>
    <row r="382" spans="1:5">
      <c r="A382" s="11">
        <v>10706193</v>
      </c>
      <c r="B382" s="11" t="s">
        <v>2719</v>
      </c>
      <c r="D382" s="153">
        <v>42681</v>
      </c>
      <c r="E382" s="153" t="s">
        <v>2731</v>
      </c>
    </row>
    <row r="383" spans="1:5">
      <c r="A383" s="11">
        <v>10629495</v>
      </c>
      <c r="B383" s="11" t="s">
        <v>2720</v>
      </c>
      <c r="D383" s="153">
        <v>39314</v>
      </c>
      <c r="E383" s="153" t="s">
        <v>2732</v>
      </c>
    </row>
    <row r="384" spans="1:5">
      <c r="A384" s="11">
        <v>10713497</v>
      </c>
      <c r="B384" s="11" t="s">
        <v>2019</v>
      </c>
      <c r="C384" s="11" t="s">
        <v>2351</v>
      </c>
      <c r="D384" s="153">
        <v>42891</v>
      </c>
      <c r="E384" s="153" t="s">
        <v>2497</v>
      </c>
    </row>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sheetData>
  <dataValidations disablePrompts="1" count="1">
    <dataValidation type="list" allowBlank="1" showInputMessage="1" showErrorMessage="1" sqref="C488" xr:uid="{00000000-0002-0000-0300-000000000000}">
      <formula1>$IE$12:$IE$12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7" tint="0.59999389629810485"/>
  </sheetPr>
  <dimension ref="A1:U58"/>
  <sheetViews>
    <sheetView workbookViewId="0">
      <pane xSplit="2" ySplit="2" topLeftCell="C3" activePane="bottomRight" state="frozen"/>
      <selection pane="topRight" activeCell="C1" sqref="C1"/>
      <selection pane="bottomLeft" activeCell="A3" sqref="A3"/>
      <selection pane="bottomRight" activeCell="B3" sqref="B3"/>
    </sheetView>
  </sheetViews>
  <sheetFormatPr defaultColWidth="0" defaultRowHeight="15" zeroHeight="1"/>
  <cols>
    <col min="1" max="1" width="9.140625" customWidth="1"/>
    <col min="2" max="2" width="23.140625" bestFit="1" customWidth="1"/>
    <col min="3" max="3" width="23.140625" customWidth="1"/>
    <col min="4" max="4" width="0" hidden="1" customWidth="1"/>
    <col min="5" max="5" width="23.140625" customWidth="1"/>
    <col min="6" max="6" width="33.7109375" customWidth="1"/>
    <col min="7" max="13" width="15.7109375" bestFit="1" customWidth="1"/>
    <col min="14" max="14" width="23.140625" customWidth="1"/>
    <col min="15" max="19" width="9.140625" hidden="1" customWidth="1"/>
    <col min="20" max="21" width="10.7109375" hidden="1" customWidth="1"/>
    <col min="22" max="16384" width="9.140625" hidden="1"/>
  </cols>
  <sheetData>
    <row r="1" spans="1:20" ht="113.25" customHeight="1" thickBot="1">
      <c r="A1" s="2"/>
      <c r="B1" s="2"/>
      <c r="C1" s="2"/>
      <c r="E1" s="2"/>
      <c r="F1" s="2"/>
      <c r="G1" s="244" t="s">
        <v>1602</v>
      </c>
      <c r="H1" s="244"/>
      <c r="I1" s="244"/>
      <c r="J1" s="244"/>
      <c r="K1" s="244"/>
      <c r="L1" s="244"/>
      <c r="M1" s="244"/>
      <c r="N1" s="2"/>
    </row>
    <row r="2" spans="1:20" ht="30.75" thickBot="1">
      <c r="A2" s="27">
        <v>2</v>
      </c>
      <c r="B2" s="38" t="s">
        <v>211</v>
      </c>
      <c r="C2" s="40" t="s">
        <v>1605</v>
      </c>
      <c r="E2" s="53" t="s">
        <v>1606</v>
      </c>
      <c r="F2" s="39" t="s">
        <v>1607</v>
      </c>
      <c r="G2" s="54">
        <f>VLOOKUP($A$2,$S$4:$T$55,2,FALSE)</f>
        <v>43108</v>
      </c>
      <c r="H2" s="54">
        <f>G2+1</f>
        <v>43109</v>
      </c>
      <c r="I2" s="54">
        <f t="shared" ref="I2:M2" si="0">H2+1</f>
        <v>43110</v>
      </c>
      <c r="J2" s="54">
        <f t="shared" si="0"/>
        <v>43111</v>
      </c>
      <c r="K2" s="54">
        <f t="shared" si="0"/>
        <v>43112</v>
      </c>
      <c r="L2" s="54">
        <f t="shared" si="0"/>
        <v>43113</v>
      </c>
      <c r="M2" s="54">
        <f t="shared" si="0"/>
        <v>43114</v>
      </c>
      <c r="N2" s="55" t="s">
        <v>1603</v>
      </c>
    </row>
    <row r="3" spans="1:20">
      <c r="A3" s="26">
        <v>1</v>
      </c>
      <c r="B3" s="31" t="str">
        <f>IF(List!B2="","",List!B2)</f>
        <v>John, Doe</v>
      </c>
      <c r="C3" s="28"/>
      <c r="E3" s="41" t="str">
        <f>IF(C3&gt;0,IF(C3-SUM(G3:M3)=0,"Done!",C3-SUM(G3:M3)),"")</f>
        <v/>
      </c>
      <c r="F3" s="50"/>
      <c r="G3" s="41">
        <f>COUNTIFS(Database!$C:$C,Pegsheet!$B3,Database!$J:$J,Pegsheet!G$2)</f>
        <v>0</v>
      </c>
      <c r="H3" s="41">
        <f>COUNTIFS(Database!$C:$C,Pegsheet!$B3,Database!$J:$J,Pegsheet!H$2)</f>
        <v>0</v>
      </c>
      <c r="I3" s="41">
        <f>COUNTIFS(Database!$C:$C,Pegsheet!$B3,Database!$J:$J,Pegsheet!I$2)</f>
        <v>0</v>
      </c>
      <c r="J3" s="41">
        <f>COUNTIFS(Database!$C:$C,Pegsheet!$B3,Database!$J:$J,Pegsheet!J$2)</f>
        <v>0</v>
      </c>
      <c r="K3" s="41">
        <f>COUNTIFS(Database!$C:$C,Pegsheet!$B3,Database!$J:$J,Pegsheet!K$2)</f>
        <v>0</v>
      </c>
      <c r="L3" s="41">
        <f>COUNTIFS(Database!$C:$C,Pegsheet!$B3,Database!$J:$J,Pegsheet!L$2)</f>
        <v>0</v>
      </c>
      <c r="M3" s="41">
        <f>COUNTIFS(Database!$C:$C,Pegsheet!$B3,Database!$J:$J,Pegsheet!M$2)</f>
        <v>0</v>
      </c>
      <c r="N3" s="35">
        <f>SUM(G3:M3)</f>
        <v>0</v>
      </c>
    </row>
    <row r="4" spans="1:20">
      <c r="A4" s="26">
        <v>2</v>
      </c>
      <c r="B4" s="32" t="str">
        <f>IF(List!B3="","",List!B3)</f>
        <v/>
      </c>
      <c r="C4" s="29"/>
      <c r="E4" s="42" t="str">
        <f t="shared" ref="E4:E52" si="1">IF(C4&gt;0,IF(C4-SUM(G4:M4)=0,"Done!",C4-SUM(G4:M4)),"")</f>
        <v/>
      </c>
      <c r="F4" s="51"/>
      <c r="G4" s="42">
        <f>COUNTIFS(Database!$C:$C,Pegsheet!$B4,Database!$J:$J,Pegsheet!G$2)</f>
        <v>0</v>
      </c>
      <c r="H4" s="42">
        <f>COUNTIFS(Database!$C:$C,Pegsheet!$B4,Database!$J:$J,Pegsheet!H$2)</f>
        <v>0</v>
      </c>
      <c r="I4" s="42">
        <f>COUNTIFS(Database!$C:$C,Pegsheet!$B4,Database!$J:$J,Pegsheet!I$2)</f>
        <v>0</v>
      </c>
      <c r="J4" s="42">
        <f>COUNTIFS(Database!$C:$C,Pegsheet!$B4,Database!$J:$J,Pegsheet!J$2)</f>
        <v>0</v>
      </c>
      <c r="K4" s="42">
        <f>COUNTIFS(Database!$C:$C,Pegsheet!$B4,Database!$J:$J,Pegsheet!K$2)</f>
        <v>0</v>
      </c>
      <c r="L4" s="42">
        <f>COUNTIFS(Database!$C:$C,Pegsheet!$B4,Database!$J:$J,Pegsheet!L$2)</f>
        <v>0</v>
      </c>
      <c r="M4" s="42">
        <f>COUNTIFS(Database!$C:$C,Pegsheet!$B4,Database!$J:$J,Pegsheet!M$2)</f>
        <v>0</v>
      </c>
      <c r="N4" s="36">
        <f>SUM(G4:M4)</f>
        <v>0</v>
      </c>
      <c r="S4" s="45">
        <v>1</v>
      </c>
      <c r="T4" s="10">
        <v>43101</v>
      </c>
    </row>
    <row r="5" spans="1:20">
      <c r="A5" s="26">
        <v>3</v>
      </c>
      <c r="B5" s="32" t="str">
        <f>IF(List!B4="","",List!B4)</f>
        <v/>
      </c>
      <c r="C5" s="29"/>
      <c r="E5" s="42" t="str">
        <f t="shared" si="1"/>
        <v/>
      </c>
      <c r="F5" s="51"/>
      <c r="G5" s="42">
        <f>COUNTIFS(Database!$C:$C,Pegsheet!$B5,Database!$J:$J,Pegsheet!G$2)</f>
        <v>0</v>
      </c>
      <c r="H5" s="42">
        <f>COUNTIFS(Database!$C:$C,Pegsheet!$B5,Database!$J:$J,Pegsheet!H$2)</f>
        <v>0</v>
      </c>
      <c r="I5" s="42">
        <f>COUNTIFS(Database!$C:$C,Pegsheet!$B5,Database!$J:$J,Pegsheet!I$2)</f>
        <v>0</v>
      </c>
      <c r="J5" s="42">
        <f>COUNTIFS(Database!$C:$C,Pegsheet!$B5,Database!$J:$J,Pegsheet!J$2)</f>
        <v>0</v>
      </c>
      <c r="K5" s="42">
        <f>COUNTIFS(Database!$C:$C,Pegsheet!$B5,Database!$J:$J,Pegsheet!K$2)</f>
        <v>0</v>
      </c>
      <c r="L5" s="42">
        <f>COUNTIFS(Database!$C:$C,Pegsheet!$B5,Database!$J:$J,Pegsheet!L$2)</f>
        <v>0</v>
      </c>
      <c r="M5" s="42">
        <f>COUNTIFS(Database!$C:$C,Pegsheet!$B5,Database!$J:$J,Pegsheet!M$2)</f>
        <v>0</v>
      </c>
      <c r="N5" s="36">
        <f>SUM(G5:M5)</f>
        <v>0</v>
      </c>
      <c r="S5" s="45">
        <v>2</v>
      </c>
      <c r="T5" s="10">
        <v>43108</v>
      </c>
    </row>
    <row r="6" spans="1:20">
      <c r="A6" s="26">
        <v>4</v>
      </c>
      <c r="B6" s="32" t="str">
        <f>IF(List!B5="","",List!B5)</f>
        <v/>
      </c>
      <c r="C6" s="29"/>
      <c r="E6" s="42" t="str">
        <f t="shared" si="1"/>
        <v/>
      </c>
      <c r="F6" s="51"/>
      <c r="G6" s="42">
        <f>COUNTIFS(Database!$C:$C,Pegsheet!$B6,Database!$J:$J,Pegsheet!G$2)</f>
        <v>0</v>
      </c>
      <c r="H6" s="42">
        <f>COUNTIFS(Database!$C:$C,Pegsheet!$B6,Database!$J:$J,Pegsheet!H$2)</f>
        <v>0</v>
      </c>
      <c r="I6" s="42">
        <f>COUNTIFS(Database!$C:$C,Pegsheet!$B6,Database!$J:$J,Pegsheet!I$2)</f>
        <v>0</v>
      </c>
      <c r="J6" s="42">
        <f>COUNTIFS(Database!$C:$C,Pegsheet!$B6,Database!$J:$J,Pegsheet!J$2)</f>
        <v>0</v>
      </c>
      <c r="K6" s="42">
        <f>COUNTIFS(Database!$C:$C,Pegsheet!$B6,Database!$J:$J,Pegsheet!K$2)</f>
        <v>0</v>
      </c>
      <c r="L6" s="42">
        <f>COUNTIFS(Database!$C:$C,Pegsheet!$B6,Database!$J:$J,Pegsheet!L$2)</f>
        <v>0</v>
      </c>
      <c r="M6" s="42">
        <f>COUNTIFS(Database!$C:$C,Pegsheet!$B6,Database!$J:$J,Pegsheet!M$2)</f>
        <v>0</v>
      </c>
      <c r="N6" s="36">
        <f t="shared" ref="N6:N51" si="2">SUM(G6:M6)</f>
        <v>0</v>
      </c>
      <c r="S6" s="45">
        <v>3</v>
      </c>
      <c r="T6" s="10">
        <v>43115</v>
      </c>
    </row>
    <row r="7" spans="1:20">
      <c r="A7" s="26">
        <v>5</v>
      </c>
      <c r="B7" s="32" t="str">
        <f>IF(List!B6="","",List!B6)</f>
        <v/>
      </c>
      <c r="C7" s="29"/>
      <c r="E7" s="42" t="str">
        <f t="shared" si="1"/>
        <v/>
      </c>
      <c r="F7" s="51"/>
      <c r="G7" s="42">
        <f>COUNTIFS(Database!$C:$C,Pegsheet!$B7,Database!$J:$J,Pegsheet!G$2)</f>
        <v>0</v>
      </c>
      <c r="H7" s="42">
        <f>COUNTIFS(Database!$C:$C,Pegsheet!$B7,Database!$J:$J,Pegsheet!H$2)</f>
        <v>0</v>
      </c>
      <c r="I7" s="42">
        <f>COUNTIFS(Database!$C:$C,Pegsheet!$B7,Database!$J:$J,Pegsheet!I$2)</f>
        <v>0</v>
      </c>
      <c r="J7" s="42">
        <f>COUNTIFS(Database!$C:$C,Pegsheet!$B7,Database!$J:$J,Pegsheet!J$2)</f>
        <v>0</v>
      </c>
      <c r="K7" s="42">
        <f>COUNTIFS(Database!$C:$C,Pegsheet!$B7,Database!$J:$J,Pegsheet!K$2)</f>
        <v>0</v>
      </c>
      <c r="L7" s="42">
        <f>COUNTIFS(Database!$C:$C,Pegsheet!$B7,Database!$J:$J,Pegsheet!L$2)</f>
        <v>0</v>
      </c>
      <c r="M7" s="42">
        <f>COUNTIFS(Database!$C:$C,Pegsheet!$B7,Database!$J:$J,Pegsheet!M$2)</f>
        <v>0</v>
      </c>
      <c r="N7" s="36">
        <f t="shared" si="2"/>
        <v>0</v>
      </c>
      <c r="S7" s="45">
        <v>4</v>
      </c>
      <c r="T7" s="10">
        <v>43122</v>
      </c>
    </row>
    <row r="8" spans="1:20">
      <c r="A8" s="26">
        <v>6</v>
      </c>
      <c r="B8" s="32" t="str">
        <f>IF(List!B7="","",List!B7)</f>
        <v/>
      </c>
      <c r="C8" s="29"/>
      <c r="E8" s="42" t="str">
        <f t="shared" si="1"/>
        <v/>
      </c>
      <c r="F8" s="51"/>
      <c r="G8" s="42">
        <f>COUNTIFS(Database!$C:$C,Pegsheet!$B8,Database!$J:$J,Pegsheet!G$2)</f>
        <v>0</v>
      </c>
      <c r="H8" s="42">
        <f>COUNTIFS(Database!$C:$C,Pegsheet!$B8,Database!$J:$J,Pegsheet!H$2)</f>
        <v>0</v>
      </c>
      <c r="I8" s="42">
        <f>COUNTIFS(Database!$C:$C,Pegsheet!$B8,Database!$J:$J,Pegsheet!I$2)</f>
        <v>0</v>
      </c>
      <c r="J8" s="42">
        <f>COUNTIFS(Database!$C:$C,Pegsheet!$B8,Database!$J:$J,Pegsheet!J$2)</f>
        <v>0</v>
      </c>
      <c r="K8" s="42">
        <f>COUNTIFS(Database!$C:$C,Pegsheet!$B8,Database!$J:$J,Pegsheet!K$2)</f>
        <v>0</v>
      </c>
      <c r="L8" s="42">
        <f>COUNTIFS(Database!$C:$C,Pegsheet!$B8,Database!$J:$J,Pegsheet!L$2)</f>
        <v>0</v>
      </c>
      <c r="M8" s="42">
        <f>COUNTIFS(Database!$C:$C,Pegsheet!$B8,Database!$J:$J,Pegsheet!M$2)</f>
        <v>0</v>
      </c>
      <c r="N8" s="36">
        <f t="shared" si="2"/>
        <v>0</v>
      </c>
      <c r="S8" s="45">
        <v>5</v>
      </c>
      <c r="T8" s="10">
        <v>43129</v>
      </c>
    </row>
    <row r="9" spans="1:20">
      <c r="A9" s="26">
        <v>7</v>
      </c>
      <c r="B9" s="32" t="str">
        <f>IF(List!B8="","",List!B8)</f>
        <v/>
      </c>
      <c r="C9" s="29"/>
      <c r="E9" s="42" t="str">
        <f t="shared" si="1"/>
        <v/>
      </c>
      <c r="F9" s="51"/>
      <c r="G9" s="42">
        <f>COUNTIFS(Database!$C:$C,Pegsheet!$B9,Database!$J:$J,Pegsheet!G$2)</f>
        <v>0</v>
      </c>
      <c r="H9" s="42">
        <f>COUNTIFS(Database!$C:$C,Pegsheet!$B9,Database!$J:$J,Pegsheet!H$2)</f>
        <v>0</v>
      </c>
      <c r="I9" s="42">
        <f>COUNTIFS(Database!$C:$C,Pegsheet!$B9,Database!$J:$J,Pegsheet!I$2)</f>
        <v>0</v>
      </c>
      <c r="J9" s="42">
        <f>COUNTIFS(Database!$C:$C,Pegsheet!$B9,Database!$J:$J,Pegsheet!J$2)</f>
        <v>0</v>
      </c>
      <c r="K9" s="42">
        <f>COUNTIFS(Database!$C:$C,Pegsheet!$B9,Database!$J:$J,Pegsheet!K$2)</f>
        <v>0</v>
      </c>
      <c r="L9" s="42">
        <f>COUNTIFS(Database!$C:$C,Pegsheet!$B9,Database!$J:$J,Pegsheet!L$2)</f>
        <v>0</v>
      </c>
      <c r="M9" s="42">
        <f>COUNTIFS(Database!$C:$C,Pegsheet!$B9,Database!$J:$J,Pegsheet!M$2)</f>
        <v>0</v>
      </c>
      <c r="N9" s="36">
        <f t="shared" si="2"/>
        <v>0</v>
      </c>
      <c r="S9" s="45">
        <v>6</v>
      </c>
      <c r="T9" s="10">
        <v>43136</v>
      </c>
    </row>
    <row r="10" spans="1:20">
      <c r="A10" s="26">
        <v>8</v>
      </c>
      <c r="B10" s="32" t="str">
        <f>IF(List!B9="","",List!B9)</f>
        <v/>
      </c>
      <c r="C10" s="29"/>
      <c r="E10" s="42" t="str">
        <f t="shared" si="1"/>
        <v/>
      </c>
      <c r="F10" s="51"/>
      <c r="G10" s="42">
        <f>COUNTIFS(Database!$C:$C,Pegsheet!$B10,Database!$J:$J,Pegsheet!G$2)</f>
        <v>0</v>
      </c>
      <c r="H10" s="42">
        <f>COUNTIFS(Database!$C:$C,Pegsheet!$B10,Database!$J:$J,Pegsheet!H$2)</f>
        <v>0</v>
      </c>
      <c r="I10" s="42">
        <f>COUNTIFS(Database!$C:$C,Pegsheet!$B10,Database!$J:$J,Pegsheet!I$2)</f>
        <v>0</v>
      </c>
      <c r="J10" s="42">
        <f>COUNTIFS(Database!$C:$C,Pegsheet!$B10,Database!$J:$J,Pegsheet!J$2)</f>
        <v>0</v>
      </c>
      <c r="K10" s="42">
        <f>COUNTIFS(Database!$C:$C,Pegsheet!$B10,Database!$J:$J,Pegsheet!K$2)</f>
        <v>0</v>
      </c>
      <c r="L10" s="42">
        <f>COUNTIFS(Database!$C:$C,Pegsheet!$B10,Database!$J:$J,Pegsheet!L$2)</f>
        <v>0</v>
      </c>
      <c r="M10" s="42">
        <f>COUNTIFS(Database!$C:$C,Pegsheet!$B10,Database!$J:$J,Pegsheet!M$2)</f>
        <v>0</v>
      </c>
      <c r="N10" s="36">
        <f t="shared" si="2"/>
        <v>0</v>
      </c>
      <c r="S10" s="45">
        <v>7</v>
      </c>
      <c r="T10" s="10">
        <v>43143</v>
      </c>
    </row>
    <row r="11" spans="1:20">
      <c r="A11" s="26">
        <v>9</v>
      </c>
      <c r="B11" s="32" t="str">
        <f>IF(List!B10="","",List!B10)</f>
        <v/>
      </c>
      <c r="C11" s="29"/>
      <c r="E11" s="42" t="str">
        <f t="shared" si="1"/>
        <v/>
      </c>
      <c r="F11" s="51"/>
      <c r="G11" s="42">
        <f>COUNTIFS(Database!$C:$C,Pegsheet!$B11,Database!$J:$J,Pegsheet!G$2)</f>
        <v>0</v>
      </c>
      <c r="H11" s="42">
        <f>COUNTIFS(Database!$C:$C,Pegsheet!$B11,Database!$J:$J,Pegsheet!H$2)</f>
        <v>0</v>
      </c>
      <c r="I11" s="42">
        <f>COUNTIFS(Database!$C:$C,Pegsheet!$B11,Database!$J:$J,Pegsheet!I$2)</f>
        <v>0</v>
      </c>
      <c r="J11" s="42">
        <f>COUNTIFS(Database!$C:$C,Pegsheet!$B11,Database!$J:$J,Pegsheet!J$2)</f>
        <v>0</v>
      </c>
      <c r="K11" s="42">
        <f>COUNTIFS(Database!$C:$C,Pegsheet!$B11,Database!$J:$J,Pegsheet!K$2)</f>
        <v>0</v>
      </c>
      <c r="L11" s="42">
        <f>COUNTIFS(Database!$C:$C,Pegsheet!$B11,Database!$J:$J,Pegsheet!L$2)</f>
        <v>0</v>
      </c>
      <c r="M11" s="42">
        <f>COUNTIFS(Database!$C:$C,Pegsheet!$B11,Database!$J:$J,Pegsheet!M$2)</f>
        <v>0</v>
      </c>
      <c r="N11" s="36">
        <f t="shared" si="2"/>
        <v>0</v>
      </c>
      <c r="S11" s="45">
        <v>8</v>
      </c>
      <c r="T11" s="10">
        <v>43150</v>
      </c>
    </row>
    <row r="12" spans="1:20">
      <c r="A12" s="26">
        <v>10</v>
      </c>
      <c r="B12" s="32" t="str">
        <f>IF(List!B11="","",List!B11)</f>
        <v/>
      </c>
      <c r="C12" s="29"/>
      <c r="E12" s="42" t="str">
        <f t="shared" si="1"/>
        <v/>
      </c>
      <c r="F12" s="51"/>
      <c r="G12" s="42">
        <f>COUNTIFS(Database!$C:$C,Pegsheet!$B12,Database!$J:$J,Pegsheet!G$2)</f>
        <v>0</v>
      </c>
      <c r="H12" s="42">
        <f>COUNTIFS(Database!$C:$C,Pegsheet!$B12,Database!$J:$J,Pegsheet!H$2)</f>
        <v>0</v>
      </c>
      <c r="I12" s="42">
        <f>COUNTIFS(Database!$C:$C,Pegsheet!$B12,Database!$J:$J,Pegsheet!I$2)</f>
        <v>0</v>
      </c>
      <c r="J12" s="42">
        <f>COUNTIFS(Database!$C:$C,Pegsheet!$B12,Database!$J:$J,Pegsheet!J$2)</f>
        <v>0</v>
      </c>
      <c r="K12" s="42">
        <f>COUNTIFS(Database!$C:$C,Pegsheet!$B12,Database!$J:$J,Pegsheet!K$2)</f>
        <v>0</v>
      </c>
      <c r="L12" s="42">
        <f>COUNTIFS(Database!$C:$C,Pegsheet!$B12,Database!$J:$J,Pegsheet!L$2)</f>
        <v>0</v>
      </c>
      <c r="M12" s="42">
        <f>COUNTIFS(Database!$C:$C,Pegsheet!$B12,Database!$J:$J,Pegsheet!M$2)</f>
        <v>0</v>
      </c>
      <c r="N12" s="36">
        <f t="shared" si="2"/>
        <v>0</v>
      </c>
      <c r="S12" s="45">
        <v>9</v>
      </c>
      <c r="T12" s="10">
        <v>43157</v>
      </c>
    </row>
    <row r="13" spans="1:20">
      <c r="A13" s="26">
        <v>11</v>
      </c>
      <c r="B13" s="32" t="str">
        <f>IF(List!B12="","",List!B12)</f>
        <v/>
      </c>
      <c r="C13" s="29"/>
      <c r="E13" s="42" t="str">
        <f t="shared" si="1"/>
        <v/>
      </c>
      <c r="F13" s="51"/>
      <c r="G13" s="42">
        <f>COUNTIFS(Database!$C:$C,Pegsheet!$B13,Database!$J:$J,Pegsheet!G$2)</f>
        <v>0</v>
      </c>
      <c r="H13" s="42">
        <f>COUNTIFS(Database!$C:$C,Pegsheet!$B13,Database!$J:$J,Pegsheet!H$2)</f>
        <v>0</v>
      </c>
      <c r="I13" s="42">
        <f>COUNTIFS(Database!$C:$C,Pegsheet!$B13,Database!$J:$J,Pegsheet!I$2)</f>
        <v>0</v>
      </c>
      <c r="J13" s="42">
        <f>COUNTIFS(Database!$C:$C,Pegsheet!$B13,Database!$J:$J,Pegsheet!J$2)</f>
        <v>0</v>
      </c>
      <c r="K13" s="42">
        <f>COUNTIFS(Database!$C:$C,Pegsheet!$B13,Database!$J:$J,Pegsheet!K$2)</f>
        <v>0</v>
      </c>
      <c r="L13" s="42">
        <f>COUNTIFS(Database!$C:$C,Pegsheet!$B13,Database!$J:$J,Pegsheet!L$2)</f>
        <v>0</v>
      </c>
      <c r="M13" s="42">
        <f>COUNTIFS(Database!$C:$C,Pegsheet!$B13,Database!$J:$J,Pegsheet!M$2)</f>
        <v>0</v>
      </c>
      <c r="N13" s="36">
        <f t="shared" si="2"/>
        <v>0</v>
      </c>
      <c r="S13" s="45">
        <v>10</v>
      </c>
      <c r="T13" s="10">
        <v>43164</v>
      </c>
    </row>
    <row r="14" spans="1:20">
      <c r="A14" s="26">
        <v>12</v>
      </c>
      <c r="B14" s="32" t="str">
        <f>IF(List!B13="","",List!B13)</f>
        <v/>
      </c>
      <c r="C14" s="29"/>
      <c r="E14" s="42" t="str">
        <f t="shared" si="1"/>
        <v/>
      </c>
      <c r="F14" s="51"/>
      <c r="G14" s="42">
        <f>COUNTIFS(Database!$C:$C,Pegsheet!$B14,Database!$J:$J,Pegsheet!G$2)</f>
        <v>0</v>
      </c>
      <c r="H14" s="42">
        <f>COUNTIFS(Database!$C:$C,Pegsheet!$B14,Database!$J:$J,Pegsheet!H$2)</f>
        <v>0</v>
      </c>
      <c r="I14" s="42">
        <f>COUNTIFS(Database!$C:$C,Pegsheet!$B14,Database!$J:$J,Pegsheet!I$2)</f>
        <v>0</v>
      </c>
      <c r="J14" s="42">
        <f>COUNTIFS(Database!$C:$C,Pegsheet!$B14,Database!$J:$J,Pegsheet!J$2)</f>
        <v>0</v>
      </c>
      <c r="K14" s="42">
        <f>COUNTIFS(Database!$C:$C,Pegsheet!$B14,Database!$J:$J,Pegsheet!K$2)</f>
        <v>0</v>
      </c>
      <c r="L14" s="42">
        <f>COUNTIFS(Database!$C:$C,Pegsheet!$B14,Database!$J:$J,Pegsheet!L$2)</f>
        <v>0</v>
      </c>
      <c r="M14" s="42">
        <f>COUNTIFS(Database!$C:$C,Pegsheet!$B14,Database!$J:$J,Pegsheet!M$2)</f>
        <v>0</v>
      </c>
      <c r="N14" s="36">
        <f t="shared" si="2"/>
        <v>0</v>
      </c>
      <c r="S14" s="45">
        <v>11</v>
      </c>
      <c r="T14" s="10">
        <v>43171</v>
      </c>
    </row>
    <row r="15" spans="1:20">
      <c r="A15" s="26">
        <v>13</v>
      </c>
      <c r="B15" s="32" t="str">
        <f>IF(List!B14="","",List!B14)</f>
        <v/>
      </c>
      <c r="C15" s="29"/>
      <c r="E15" s="42" t="str">
        <f t="shared" si="1"/>
        <v/>
      </c>
      <c r="F15" s="51"/>
      <c r="G15" s="42">
        <f>COUNTIFS(Database!$C:$C,Pegsheet!$B15,Database!$J:$J,Pegsheet!G$2)</f>
        <v>0</v>
      </c>
      <c r="H15" s="42">
        <f>COUNTIFS(Database!$C:$C,Pegsheet!$B15,Database!$J:$J,Pegsheet!H$2)</f>
        <v>0</v>
      </c>
      <c r="I15" s="42">
        <f>COUNTIFS(Database!$C:$C,Pegsheet!$B15,Database!$J:$J,Pegsheet!I$2)</f>
        <v>0</v>
      </c>
      <c r="J15" s="42">
        <f>COUNTIFS(Database!$C:$C,Pegsheet!$B15,Database!$J:$J,Pegsheet!J$2)</f>
        <v>0</v>
      </c>
      <c r="K15" s="42">
        <f>COUNTIFS(Database!$C:$C,Pegsheet!$B15,Database!$J:$J,Pegsheet!K$2)</f>
        <v>0</v>
      </c>
      <c r="L15" s="42">
        <f>COUNTIFS(Database!$C:$C,Pegsheet!$B15,Database!$J:$J,Pegsheet!L$2)</f>
        <v>0</v>
      </c>
      <c r="M15" s="42">
        <f>COUNTIFS(Database!$C:$C,Pegsheet!$B15,Database!$J:$J,Pegsheet!M$2)</f>
        <v>0</v>
      </c>
      <c r="N15" s="36">
        <f t="shared" si="2"/>
        <v>0</v>
      </c>
      <c r="S15" s="45">
        <v>12</v>
      </c>
      <c r="T15" s="10">
        <v>43178</v>
      </c>
    </row>
    <row r="16" spans="1:20">
      <c r="A16" s="26">
        <v>14</v>
      </c>
      <c r="B16" s="32" t="str">
        <f>IF(List!B15="","",List!B15)</f>
        <v/>
      </c>
      <c r="C16" s="29"/>
      <c r="E16" s="42" t="str">
        <f t="shared" si="1"/>
        <v/>
      </c>
      <c r="F16" s="51"/>
      <c r="G16" s="42">
        <f>COUNTIFS(Database!$C:$C,Pegsheet!$B16,Database!$J:$J,Pegsheet!G$2)</f>
        <v>0</v>
      </c>
      <c r="H16" s="42">
        <f>COUNTIFS(Database!$C:$C,Pegsheet!$B16,Database!$J:$J,Pegsheet!H$2)</f>
        <v>0</v>
      </c>
      <c r="I16" s="42">
        <f>COUNTIFS(Database!$C:$C,Pegsheet!$B16,Database!$J:$J,Pegsheet!I$2)</f>
        <v>0</v>
      </c>
      <c r="J16" s="42">
        <f>COUNTIFS(Database!$C:$C,Pegsheet!$B16,Database!$J:$J,Pegsheet!J$2)</f>
        <v>0</v>
      </c>
      <c r="K16" s="42">
        <f>COUNTIFS(Database!$C:$C,Pegsheet!$B16,Database!$J:$J,Pegsheet!K$2)</f>
        <v>0</v>
      </c>
      <c r="L16" s="42">
        <f>COUNTIFS(Database!$C:$C,Pegsheet!$B16,Database!$J:$J,Pegsheet!L$2)</f>
        <v>0</v>
      </c>
      <c r="M16" s="42">
        <f>COUNTIFS(Database!$C:$C,Pegsheet!$B16,Database!$J:$J,Pegsheet!M$2)</f>
        <v>0</v>
      </c>
      <c r="N16" s="36">
        <f t="shared" si="2"/>
        <v>0</v>
      </c>
      <c r="S16" s="45">
        <v>13</v>
      </c>
      <c r="T16" s="10">
        <v>43185</v>
      </c>
    </row>
    <row r="17" spans="1:20">
      <c r="A17" s="26">
        <v>15</v>
      </c>
      <c r="B17" s="32" t="str">
        <f>IF(List!B16="","",List!B16)</f>
        <v/>
      </c>
      <c r="C17" s="29"/>
      <c r="E17" s="42" t="str">
        <f t="shared" si="1"/>
        <v/>
      </c>
      <c r="F17" s="51"/>
      <c r="G17" s="42">
        <f>COUNTIFS(Database!$C:$C,Pegsheet!$B17,Database!$J:$J,Pegsheet!G$2)</f>
        <v>0</v>
      </c>
      <c r="H17" s="42">
        <f>COUNTIFS(Database!$C:$C,Pegsheet!$B17,Database!$J:$J,Pegsheet!H$2)</f>
        <v>0</v>
      </c>
      <c r="I17" s="42">
        <f>COUNTIFS(Database!$C:$C,Pegsheet!$B17,Database!$J:$J,Pegsheet!I$2)</f>
        <v>0</v>
      </c>
      <c r="J17" s="42">
        <f>COUNTIFS(Database!$C:$C,Pegsheet!$B17,Database!$J:$J,Pegsheet!J$2)</f>
        <v>0</v>
      </c>
      <c r="K17" s="42">
        <f>COUNTIFS(Database!$C:$C,Pegsheet!$B17,Database!$J:$J,Pegsheet!K$2)</f>
        <v>0</v>
      </c>
      <c r="L17" s="42">
        <f>COUNTIFS(Database!$C:$C,Pegsheet!$B17,Database!$J:$J,Pegsheet!L$2)</f>
        <v>0</v>
      </c>
      <c r="M17" s="42">
        <f>COUNTIFS(Database!$C:$C,Pegsheet!$B17,Database!$J:$J,Pegsheet!M$2)</f>
        <v>0</v>
      </c>
      <c r="N17" s="36">
        <f t="shared" si="2"/>
        <v>0</v>
      </c>
      <c r="S17" s="45">
        <v>14</v>
      </c>
      <c r="T17" s="10">
        <v>43192</v>
      </c>
    </row>
    <row r="18" spans="1:20">
      <c r="A18" s="26">
        <v>16</v>
      </c>
      <c r="B18" s="32" t="str">
        <f>IF(List!B17="","",List!B17)</f>
        <v/>
      </c>
      <c r="C18" s="29"/>
      <c r="E18" s="42" t="str">
        <f t="shared" si="1"/>
        <v/>
      </c>
      <c r="F18" s="51"/>
      <c r="G18" s="42">
        <f>COUNTIFS(Database!$C:$C,Pegsheet!$B18,Database!$J:$J,Pegsheet!G$2)</f>
        <v>0</v>
      </c>
      <c r="H18" s="42">
        <f>COUNTIFS(Database!$C:$C,Pegsheet!$B18,Database!$J:$J,Pegsheet!H$2)</f>
        <v>0</v>
      </c>
      <c r="I18" s="42">
        <f>COUNTIFS(Database!$C:$C,Pegsheet!$B18,Database!$J:$J,Pegsheet!I$2)</f>
        <v>0</v>
      </c>
      <c r="J18" s="42">
        <f>COUNTIFS(Database!$C:$C,Pegsheet!$B18,Database!$J:$J,Pegsheet!J$2)</f>
        <v>0</v>
      </c>
      <c r="K18" s="42">
        <f>COUNTIFS(Database!$C:$C,Pegsheet!$B18,Database!$J:$J,Pegsheet!K$2)</f>
        <v>0</v>
      </c>
      <c r="L18" s="42">
        <f>COUNTIFS(Database!$C:$C,Pegsheet!$B18,Database!$J:$J,Pegsheet!L$2)</f>
        <v>0</v>
      </c>
      <c r="M18" s="42">
        <f>COUNTIFS(Database!$C:$C,Pegsheet!$B18,Database!$J:$J,Pegsheet!M$2)</f>
        <v>0</v>
      </c>
      <c r="N18" s="36">
        <f t="shared" si="2"/>
        <v>0</v>
      </c>
      <c r="S18" s="45">
        <v>15</v>
      </c>
      <c r="T18" s="10">
        <v>43199</v>
      </c>
    </row>
    <row r="19" spans="1:20">
      <c r="A19" s="26">
        <v>17</v>
      </c>
      <c r="B19" s="32" t="str">
        <f>IF(List!B18="","",List!B18)</f>
        <v/>
      </c>
      <c r="C19" s="29"/>
      <c r="E19" s="42" t="str">
        <f t="shared" si="1"/>
        <v/>
      </c>
      <c r="F19" s="51"/>
      <c r="G19" s="42">
        <f>COUNTIFS(Database!$C:$C,Pegsheet!$B19,Database!$J:$J,Pegsheet!G$2)</f>
        <v>0</v>
      </c>
      <c r="H19" s="42">
        <f>COUNTIFS(Database!$C:$C,Pegsheet!$B19,Database!$J:$J,Pegsheet!H$2)</f>
        <v>0</v>
      </c>
      <c r="I19" s="42">
        <f>COUNTIFS(Database!$C:$C,Pegsheet!$B19,Database!$J:$J,Pegsheet!I$2)</f>
        <v>0</v>
      </c>
      <c r="J19" s="42">
        <f>COUNTIFS(Database!$C:$C,Pegsheet!$B19,Database!$J:$J,Pegsheet!J$2)</f>
        <v>0</v>
      </c>
      <c r="K19" s="42">
        <f>COUNTIFS(Database!$C:$C,Pegsheet!$B19,Database!$J:$J,Pegsheet!K$2)</f>
        <v>0</v>
      </c>
      <c r="L19" s="42">
        <f>COUNTIFS(Database!$C:$C,Pegsheet!$B19,Database!$J:$J,Pegsheet!L$2)</f>
        <v>0</v>
      </c>
      <c r="M19" s="42">
        <f>COUNTIFS(Database!$C:$C,Pegsheet!$B19,Database!$J:$J,Pegsheet!M$2)</f>
        <v>0</v>
      </c>
      <c r="N19" s="36">
        <f t="shared" si="2"/>
        <v>0</v>
      </c>
      <c r="S19" s="45">
        <v>16</v>
      </c>
      <c r="T19" s="10">
        <v>43206</v>
      </c>
    </row>
    <row r="20" spans="1:20">
      <c r="A20" s="26">
        <v>18</v>
      </c>
      <c r="B20" s="32" t="str">
        <f>IF(List!B19="","",List!B19)</f>
        <v/>
      </c>
      <c r="C20" s="29"/>
      <c r="E20" s="42" t="str">
        <f t="shared" si="1"/>
        <v/>
      </c>
      <c r="F20" s="51"/>
      <c r="G20" s="42">
        <f>COUNTIFS(Database!$C:$C,Pegsheet!$B20,Database!$J:$J,Pegsheet!G$2)</f>
        <v>0</v>
      </c>
      <c r="H20" s="42">
        <f>COUNTIFS(Database!$C:$C,Pegsheet!$B20,Database!$J:$J,Pegsheet!H$2)</f>
        <v>0</v>
      </c>
      <c r="I20" s="42">
        <f>COUNTIFS(Database!$C:$C,Pegsheet!$B20,Database!$J:$J,Pegsheet!I$2)</f>
        <v>0</v>
      </c>
      <c r="J20" s="42">
        <f>COUNTIFS(Database!$C:$C,Pegsheet!$B20,Database!$J:$J,Pegsheet!J$2)</f>
        <v>0</v>
      </c>
      <c r="K20" s="42">
        <f>COUNTIFS(Database!$C:$C,Pegsheet!$B20,Database!$J:$J,Pegsheet!K$2)</f>
        <v>0</v>
      </c>
      <c r="L20" s="42">
        <f>COUNTIFS(Database!$C:$C,Pegsheet!$B20,Database!$J:$J,Pegsheet!L$2)</f>
        <v>0</v>
      </c>
      <c r="M20" s="42">
        <f>COUNTIFS(Database!$C:$C,Pegsheet!$B20,Database!$J:$J,Pegsheet!M$2)</f>
        <v>0</v>
      </c>
      <c r="N20" s="36">
        <f t="shared" si="2"/>
        <v>0</v>
      </c>
      <c r="S20" s="45">
        <v>17</v>
      </c>
      <c r="T20" s="10">
        <v>43213</v>
      </c>
    </row>
    <row r="21" spans="1:20">
      <c r="A21" s="26">
        <v>19</v>
      </c>
      <c r="B21" s="32" t="str">
        <f>IF(List!B20="","",List!B20)</f>
        <v/>
      </c>
      <c r="C21" s="29"/>
      <c r="E21" s="42" t="str">
        <f t="shared" si="1"/>
        <v/>
      </c>
      <c r="F21" s="51"/>
      <c r="G21" s="42">
        <f>COUNTIFS(Database!$C:$C,Pegsheet!$B21,Database!$J:$J,Pegsheet!G$2)</f>
        <v>0</v>
      </c>
      <c r="H21" s="42">
        <f>COUNTIFS(Database!$C:$C,Pegsheet!$B21,Database!$J:$J,Pegsheet!H$2)</f>
        <v>0</v>
      </c>
      <c r="I21" s="42">
        <f>COUNTIFS(Database!$C:$C,Pegsheet!$B21,Database!$J:$J,Pegsheet!I$2)</f>
        <v>0</v>
      </c>
      <c r="J21" s="42">
        <f>COUNTIFS(Database!$C:$C,Pegsheet!$B21,Database!$J:$J,Pegsheet!J$2)</f>
        <v>0</v>
      </c>
      <c r="K21" s="42">
        <f>COUNTIFS(Database!$C:$C,Pegsheet!$B21,Database!$J:$J,Pegsheet!K$2)</f>
        <v>0</v>
      </c>
      <c r="L21" s="42">
        <f>COUNTIFS(Database!$C:$C,Pegsheet!$B21,Database!$J:$J,Pegsheet!L$2)</f>
        <v>0</v>
      </c>
      <c r="M21" s="42">
        <f>COUNTIFS(Database!$C:$C,Pegsheet!$B21,Database!$J:$J,Pegsheet!M$2)</f>
        <v>0</v>
      </c>
      <c r="N21" s="36">
        <f t="shared" si="2"/>
        <v>0</v>
      </c>
      <c r="S21" s="45">
        <v>18</v>
      </c>
      <c r="T21" s="10">
        <v>43220</v>
      </c>
    </row>
    <row r="22" spans="1:20">
      <c r="A22" s="26">
        <v>20</v>
      </c>
      <c r="B22" s="32" t="str">
        <f>IF(List!B21="","",List!B21)</f>
        <v/>
      </c>
      <c r="C22" s="29"/>
      <c r="E22" s="42" t="str">
        <f t="shared" si="1"/>
        <v/>
      </c>
      <c r="F22" s="51"/>
      <c r="G22" s="42">
        <f>COUNTIFS(Database!$C:$C,Pegsheet!$B22,Database!$J:$J,Pegsheet!G$2)</f>
        <v>0</v>
      </c>
      <c r="H22" s="42">
        <f>COUNTIFS(Database!$C:$C,Pegsheet!$B22,Database!$J:$J,Pegsheet!H$2)</f>
        <v>0</v>
      </c>
      <c r="I22" s="42">
        <f>COUNTIFS(Database!$C:$C,Pegsheet!$B22,Database!$J:$J,Pegsheet!I$2)</f>
        <v>0</v>
      </c>
      <c r="J22" s="42">
        <f>COUNTIFS(Database!$C:$C,Pegsheet!$B22,Database!$J:$J,Pegsheet!J$2)</f>
        <v>0</v>
      </c>
      <c r="K22" s="42">
        <f>COUNTIFS(Database!$C:$C,Pegsheet!$B22,Database!$J:$J,Pegsheet!K$2)</f>
        <v>0</v>
      </c>
      <c r="L22" s="42">
        <f>COUNTIFS(Database!$C:$C,Pegsheet!$B22,Database!$J:$J,Pegsheet!L$2)</f>
        <v>0</v>
      </c>
      <c r="M22" s="42">
        <f>COUNTIFS(Database!$C:$C,Pegsheet!$B22,Database!$J:$J,Pegsheet!M$2)</f>
        <v>0</v>
      </c>
      <c r="N22" s="36">
        <f t="shared" si="2"/>
        <v>0</v>
      </c>
      <c r="S22" s="45">
        <v>19</v>
      </c>
      <c r="T22" s="10">
        <v>43227</v>
      </c>
    </row>
    <row r="23" spans="1:20">
      <c r="A23" s="26">
        <v>21</v>
      </c>
      <c r="B23" s="32" t="str">
        <f>IF(List!B22="","",List!B22)</f>
        <v/>
      </c>
      <c r="C23" s="29"/>
      <c r="E23" s="42" t="str">
        <f t="shared" si="1"/>
        <v/>
      </c>
      <c r="F23" s="51"/>
      <c r="G23" s="42">
        <f>COUNTIFS(Database!$C:$C,Pegsheet!$B23,Database!$J:$J,Pegsheet!G$2)</f>
        <v>0</v>
      </c>
      <c r="H23" s="42">
        <f>COUNTIFS(Database!$C:$C,Pegsheet!$B23,Database!$J:$J,Pegsheet!H$2)</f>
        <v>0</v>
      </c>
      <c r="I23" s="42">
        <f>COUNTIFS(Database!$C:$C,Pegsheet!$B23,Database!$J:$J,Pegsheet!I$2)</f>
        <v>0</v>
      </c>
      <c r="J23" s="42">
        <f>COUNTIFS(Database!$C:$C,Pegsheet!$B23,Database!$J:$J,Pegsheet!J$2)</f>
        <v>0</v>
      </c>
      <c r="K23" s="42">
        <f>COUNTIFS(Database!$C:$C,Pegsheet!$B23,Database!$J:$J,Pegsheet!K$2)</f>
        <v>0</v>
      </c>
      <c r="L23" s="42">
        <f>COUNTIFS(Database!$C:$C,Pegsheet!$B23,Database!$J:$J,Pegsheet!L$2)</f>
        <v>0</v>
      </c>
      <c r="M23" s="42">
        <f>COUNTIFS(Database!$C:$C,Pegsheet!$B23,Database!$J:$J,Pegsheet!M$2)</f>
        <v>0</v>
      </c>
      <c r="N23" s="36">
        <f t="shared" si="2"/>
        <v>0</v>
      </c>
      <c r="S23" s="45">
        <v>20</v>
      </c>
      <c r="T23" s="10">
        <v>43234</v>
      </c>
    </row>
    <row r="24" spans="1:20">
      <c r="A24" s="26">
        <v>22</v>
      </c>
      <c r="B24" s="32" t="str">
        <f>IF(List!B23="","",List!B23)</f>
        <v/>
      </c>
      <c r="C24" s="29"/>
      <c r="E24" s="42" t="str">
        <f t="shared" si="1"/>
        <v/>
      </c>
      <c r="F24" s="51"/>
      <c r="G24" s="42">
        <f>COUNTIFS(Database!$C:$C,Pegsheet!$B24,Database!$J:$J,Pegsheet!G$2)</f>
        <v>0</v>
      </c>
      <c r="H24" s="42">
        <f>COUNTIFS(Database!$C:$C,Pegsheet!$B24,Database!$J:$J,Pegsheet!H$2)</f>
        <v>0</v>
      </c>
      <c r="I24" s="42">
        <f>COUNTIFS(Database!$C:$C,Pegsheet!$B24,Database!$J:$J,Pegsheet!I$2)</f>
        <v>0</v>
      </c>
      <c r="J24" s="42">
        <f>COUNTIFS(Database!$C:$C,Pegsheet!$B24,Database!$J:$J,Pegsheet!J$2)</f>
        <v>0</v>
      </c>
      <c r="K24" s="42">
        <f>COUNTIFS(Database!$C:$C,Pegsheet!$B24,Database!$J:$J,Pegsheet!K$2)</f>
        <v>0</v>
      </c>
      <c r="L24" s="42">
        <f>COUNTIFS(Database!$C:$C,Pegsheet!$B24,Database!$J:$J,Pegsheet!L$2)</f>
        <v>0</v>
      </c>
      <c r="M24" s="42">
        <f>COUNTIFS(Database!$C:$C,Pegsheet!$B24,Database!$J:$J,Pegsheet!M$2)</f>
        <v>0</v>
      </c>
      <c r="N24" s="36">
        <f t="shared" si="2"/>
        <v>0</v>
      </c>
      <c r="S24" s="45">
        <v>21</v>
      </c>
      <c r="T24" s="10">
        <v>43241</v>
      </c>
    </row>
    <row r="25" spans="1:20">
      <c r="A25" s="26">
        <v>23</v>
      </c>
      <c r="B25" s="32" t="str">
        <f>IF(List!B24="","",List!B24)</f>
        <v/>
      </c>
      <c r="C25" s="29"/>
      <c r="E25" s="42" t="str">
        <f t="shared" si="1"/>
        <v/>
      </c>
      <c r="F25" s="51"/>
      <c r="G25" s="42">
        <f>COUNTIFS(Database!$C:$C,Pegsheet!$B25,Database!$J:$J,Pegsheet!G$2)</f>
        <v>0</v>
      </c>
      <c r="H25" s="42">
        <f>COUNTIFS(Database!$C:$C,Pegsheet!$B25,Database!$J:$J,Pegsheet!H$2)</f>
        <v>0</v>
      </c>
      <c r="I25" s="42">
        <f>COUNTIFS(Database!$C:$C,Pegsheet!$B25,Database!$J:$J,Pegsheet!I$2)</f>
        <v>0</v>
      </c>
      <c r="J25" s="42">
        <f>COUNTIFS(Database!$C:$C,Pegsheet!$B25,Database!$J:$J,Pegsheet!J$2)</f>
        <v>0</v>
      </c>
      <c r="K25" s="42">
        <f>COUNTIFS(Database!$C:$C,Pegsheet!$B25,Database!$J:$J,Pegsheet!K$2)</f>
        <v>0</v>
      </c>
      <c r="L25" s="42">
        <f>COUNTIFS(Database!$C:$C,Pegsheet!$B25,Database!$J:$J,Pegsheet!L$2)</f>
        <v>0</v>
      </c>
      <c r="M25" s="42">
        <f>COUNTIFS(Database!$C:$C,Pegsheet!$B25,Database!$J:$J,Pegsheet!M$2)</f>
        <v>0</v>
      </c>
      <c r="N25" s="36">
        <f t="shared" si="2"/>
        <v>0</v>
      </c>
      <c r="S25" s="45">
        <v>22</v>
      </c>
      <c r="T25" s="10">
        <v>43248</v>
      </c>
    </row>
    <row r="26" spans="1:20">
      <c r="A26" s="26">
        <v>24</v>
      </c>
      <c r="B26" s="32" t="str">
        <f>IF(List!B25="","",List!B25)</f>
        <v/>
      </c>
      <c r="C26" s="29"/>
      <c r="E26" s="42" t="str">
        <f t="shared" si="1"/>
        <v/>
      </c>
      <c r="F26" s="51"/>
      <c r="G26" s="42">
        <f>COUNTIFS(Database!$C:$C,Pegsheet!$B26,Database!$J:$J,Pegsheet!G$2)</f>
        <v>0</v>
      </c>
      <c r="H26" s="42">
        <f>COUNTIFS(Database!$C:$C,Pegsheet!$B26,Database!$J:$J,Pegsheet!H$2)</f>
        <v>0</v>
      </c>
      <c r="I26" s="42">
        <f>COUNTIFS(Database!$C:$C,Pegsheet!$B26,Database!$J:$J,Pegsheet!I$2)</f>
        <v>0</v>
      </c>
      <c r="J26" s="42">
        <f>COUNTIFS(Database!$C:$C,Pegsheet!$B26,Database!$J:$J,Pegsheet!J$2)</f>
        <v>0</v>
      </c>
      <c r="K26" s="42">
        <f>COUNTIFS(Database!$C:$C,Pegsheet!$B26,Database!$J:$J,Pegsheet!K$2)</f>
        <v>0</v>
      </c>
      <c r="L26" s="42">
        <f>COUNTIFS(Database!$C:$C,Pegsheet!$B26,Database!$J:$J,Pegsheet!L$2)</f>
        <v>0</v>
      </c>
      <c r="M26" s="42">
        <f>COUNTIFS(Database!$C:$C,Pegsheet!$B26,Database!$J:$J,Pegsheet!M$2)</f>
        <v>0</v>
      </c>
      <c r="N26" s="36">
        <f t="shared" si="2"/>
        <v>0</v>
      </c>
      <c r="S26" s="45">
        <v>23</v>
      </c>
      <c r="T26" s="10">
        <v>43255</v>
      </c>
    </row>
    <row r="27" spans="1:20">
      <c r="A27" s="26">
        <v>25</v>
      </c>
      <c r="B27" s="32" t="str">
        <f>IF(List!B26="","",List!B26)</f>
        <v/>
      </c>
      <c r="C27" s="29"/>
      <c r="E27" s="42" t="str">
        <f t="shared" si="1"/>
        <v/>
      </c>
      <c r="F27" s="51"/>
      <c r="G27" s="42">
        <f>COUNTIFS(Database!$C:$C,Pegsheet!$B27,Database!$J:$J,Pegsheet!G$2)</f>
        <v>0</v>
      </c>
      <c r="H27" s="42">
        <f>COUNTIFS(Database!$C:$C,Pegsheet!$B27,Database!$J:$J,Pegsheet!H$2)</f>
        <v>0</v>
      </c>
      <c r="I27" s="42">
        <f>COUNTIFS(Database!$C:$C,Pegsheet!$B27,Database!$J:$J,Pegsheet!I$2)</f>
        <v>0</v>
      </c>
      <c r="J27" s="42">
        <f>COUNTIFS(Database!$C:$C,Pegsheet!$B27,Database!$J:$J,Pegsheet!J$2)</f>
        <v>0</v>
      </c>
      <c r="K27" s="42">
        <f>COUNTIFS(Database!$C:$C,Pegsheet!$B27,Database!$J:$J,Pegsheet!K$2)</f>
        <v>0</v>
      </c>
      <c r="L27" s="42">
        <f>COUNTIFS(Database!$C:$C,Pegsheet!$B27,Database!$J:$J,Pegsheet!L$2)</f>
        <v>0</v>
      </c>
      <c r="M27" s="42">
        <f>COUNTIFS(Database!$C:$C,Pegsheet!$B27,Database!$J:$J,Pegsheet!M$2)</f>
        <v>0</v>
      </c>
      <c r="N27" s="36">
        <f t="shared" si="2"/>
        <v>0</v>
      </c>
      <c r="S27" s="45">
        <v>24</v>
      </c>
      <c r="T27" s="10">
        <v>43262</v>
      </c>
    </row>
    <row r="28" spans="1:20">
      <c r="A28" s="26">
        <v>26</v>
      </c>
      <c r="B28" s="32" t="str">
        <f>IF(List!B27="","",List!B27)</f>
        <v/>
      </c>
      <c r="C28" s="29"/>
      <c r="E28" s="42" t="str">
        <f t="shared" si="1"/>
        <v/>
      </c>
      <c r="F28" s="51"/>
      <c r="G28" s="42">
        <f>COUNTIFS(Database!$C:$C,Pegsheet!$B28,Database!$J:$J,Pegsheet!G$2)</f>
        <v>0</v>
      </c>
      <c r="H28" s="42">
        <f>COUNTIFS(Database!$C:$C,Pegsheet!$B28,Database!$J:$J,Pegsheet!H$2)</f>
        <v>0</v>
      </c>
      <c r="I28" s="42">
        <f>COUNTIFS(Database!$C:$C,Pegsheet!$B28,Database!$J:$J,Pegsheet!I$2)</f>
        <v>0</v>
      </c>
      <c r="J28" s="42">
        <f>COUNTIFS(Database!$C:$C,Pegsheet!$B28,Database!$J:$J,Pegsheet!J$2)</f>
        <v>0</v>
      </c>
      <c r="K28" s="42">
        <f>COUNTIFS(Database!$C:$C,Pegsheet!$B28,Database!$J:$J,Pegsheet!K$2)</f>
        <v>0</v>
      </c>
      <c r="L28" s="42">
        <f>COUNTIFS(Database!$C:$C,Pegsheet!$B28,Database!$J:$J,Pegsheet!L$2)</f>
        <v>0</v>
      </c>
      <c r="M28" s="42">
        <f>COUNTIFS(Database!$C:$C,Pegsheet!$B28,Database!$J:$J,Pegsheet!M$2)</f>
        <v>0</v>
      </c>
      <c r="N28" s="36">
        <f t="shared" si="2"/>
        <v>0</v>
      </c>
      <c r="S28" s="45">
        <v>25</v>
      </c>
      <c r="T28" s="10">
        <v>43269</v>
      </c>
    </row>
    <row r="29" spans="1:20">
      <c r="A29" s="26">
        <v>27</v>
      </c>
      <c r="B29" s="32" t="str">
        <f>IF(List!B28="","",List!B28)</f>
        <v/>
      </c>
      <c r="C29" s="29"/>
      <c r="E29" s="42" t="str">
        <f t="shared" si="1"/>
        <v/>
      </c>
      <c r="F29" s="51"/>
      <c r="G29" s="42">
        <f>COUNTIFS(Database!$C:$C,Pegsheet!$B29,Database!$J:$J,Pegsheet!G$2)</f>
        <v>0</v>
      </c>
      <c r="H29" s="42">
        <f>COUNTIFS(Database!$C:$C,Pegsheet!$B29,Database!$J:$J,Pegsheet!H$2)</f>
        <v>0</v>
      </c>
      <c r="I29" s="42">
        <f>COUNTIFS(Database!$C:$C,Pegsheet!$B29,Database!$J:$J,Pegsheet!I$2)</f>
        <v>0</v>
      </c>
      <c r="J29" s="42">
        <f>COUNTIFS(Database!$C:$C,Pegsheet!$B29,Database!$J:$J,Pegsheet!J$2)</f>
        <v>0</v>
      </c>
      <c r="K29" s="42">
        <f>COUNTIFS(Database!$C:$C,Pegsheet!$B29,Database!$J:$J,Pegsheet!K$2)</f>
        <v>0</v>
      </c>
      <c r="L29" s="42">
        <f>COUNTIFS(Database!$C:$C,Pegsheet!$B29,Database!$J:$J,Pegsheet!L$2)</f>
        <v>0</v>
      </c>
      <c r="M29" s="42">
        <f>COUNTIFS(Database!$C:$C,Pegsheet!$B29,Database!$J:$J,Pegsheet!M$2)</f>
        <v>0</v>
      </c>
      <c r="N29" s="36">
        <f t="shared" si="2"/>
        <v>0</v>
      </c>
      <c r="S29" s="45">
        <v>26</v>
      </c>
      <c r="T29" s="10">
        <v>43276</v>
      </c>
    </row>
    <row r="30" spans="1:20">
      <c r="A30" s="26">
        <v>28</v>
      </c>
      <c r="B30" s="32" t="str">
        <f>IF(List!B29="","",List!B29)</f>
        <v/>
      </c>
      <c r="C30" s="29"/>
      <c r="E30" s="42" t="str">
        <f t="shared" si="1"/>
        <v/>
      </c>
      <c r="F30" s="51"/>
      <c r="G30" s="42">
        <f>COUNTIFS(Database!$C:$C,Pegsheet!$B30,Database!$J:$J,Pegsheet!G$2)</f>
        <v>0</v>
      </c>
      <c r="H30" s="42">
        <f>COUNTIFS(Database!$C:$C,Pegsheet!$B30,Database!$J:$J,Pegsheet!H$2)</f>
        <v>0</v>
      </c>
      <c r="I30" s="42">
        <f>COUNTIFS(Database!$C:$C,Pegsheet!$B30,Database!$J:$J,Pegsheet!I$2)</f>
        <v>0</v>
      </c>
      <c r="J30" s="42">
        <f>COUNTIFS(Database!$C:$C,Pegsheet!$B30,Database!$J:$J,Pegsheet!J$2)</f>
        <v>0</v>
      </c>
      <c r="K30" s="42">
        <f>COUNTIFS(Database!$C:$C,Pegsheet!$B30,Database!$J:$J,Pegsheet!K$2)</f>
        <v>0</v>
      </c>
      <c r="L30" s="42">
        <f>COUNTIFS(Database!$C:$C,Pegsheet!$B30,Database!$J:$J,Pegsheet!L$2)</f>
        <v>0</v>
      </c>
      <c r="M30" s="42">
        <f>COUNTIFS(Database!$C:$C,Pegsheet!$B30,Database!$J:$J,Pegsheet!M$2)</f>
        <v>0</v>
      </c>
      <c r="N30" s="36">
        <f t="shared" si="2"/>
        <v>0</v>
      </c>
      <c r="S30" s="45">
        <v>27</v>
      </c>
      <c r="T30" s="10">
        <v>43283</v>
      </c>
    </row>
    <row r="31" spans="1:20">
      <c r="A31" s="26">
        <v>29</v>
      </c>
      <c r="B31" s="32" t="str">
        <f>IF(List!B30="","",List!B30)</f>
        <v/>
      </c>
      <c r="C31" s="29"/>
      <c r="E31" s="42" t="str">
        <f t="shared" si="1"/>
        <v/>
      </c>
      <c r="F31" s="51"/>
      <c r="G31" s="42">
        <f>COUNTIFS(Database!$C:$C,Pegsheet!$B31,Database!$J:$J,Pegsheet!G$2)</f>
        <v>0</v>
      </c>
      <c r="H31" s="42">
        <f>COUNTIFS(Database!$C:$C,Pegsheet!$B31,Database!$J:$J,Pegsheet!H$2)</f>
        <v>0</v>
      </c>
      <c r="I31" s="42">
        <f>COUNTIFS(Database!$C:$C,Pegsheet!$B31,Database!$J:$J,Pegsheet!I$2)</f>
        <v>0</v>
      </c>
      <c r="J31" s="42">
        <f>COUNTIFS(Database!$C:$C,Pegsheet!$B31,Database!$J:$J,Pegsheet!J$2)</f>
        <v>0</v>
      </c>
      <c r="K31" s="42">
        <f>COUNTIFS(Database!$C:$C,Pegsheet!$B31,Database!$J:$J,Pegsheet!K$2)</f>
        <v>0</v>
      </c>
      <c r="L31" s="42">
        <f>COUNTIFS(Database!$C:$C,Pegsheet!$B31,Database!$J:$J,Pegsheet!L$2)</f>
        <v>0</v>
      </c>
      <c r="M31" s="42">
        <f>COUNTIFS(Database!$C:$C,Pegsheet!$B31,Database!$J:$J,Pegsheet!M$2)</f>
        <v>0</v>
      </c>
      <c r="N31" s="36">
        <f t="shared" si="2"/>
        <v>0</v>
      </c>
      <c r="S31" s="45">
        <v>28</v>
      </c>
      <c r="T31" s="10">
        <v>43290</v>
      </c>
    </row>
    <row r="32" spans="1:20">
      <c r="A32" s="26">
        <v>30</v>
      </c>
      <c r="B32" s="32" t="str">
        <f>IF(List!B31="","",List!B31)</f>
        <v/>
      </c>
      <c r="C32" s="29"/>
      <c r="E32" s="42" t="str">
        <f t="shared" si="1"/>
        <v/>
      </c>
      <c r="F32" s="51"/>
      <c r="G32" s="42">
        <f>COUNTIFS(Database!$C:$C,Pegsheet!$B32,Database!$J:$J,Pegsheet!G$2)</f>
        <v>0</v>
      </c>
      <c r="H32" s="42">
        <f>COUNTIFS(Database!$C:$C,Pegsheet!$B32,Database!$J:$J,Pegsheet!H$2)</f>
        <v>0</v>
      </c>
      <c r="I32" s="42">
        <f>COUNTIFS(Database!$C:$C,Pegsheet!$B32,Database!$J:$J,Pegsheet!I$2)</f>
        <v>0</v>
      </c>
      <c r="J32" s="42">
        <f>COUNTIFS(Database!$C:$C,Pegsheet!$B32,Database!$J:$J,Pegsheet!J$2)</f>
        <v>0</v>
      </c>
      <c r="K32" s="42">
        <f>COUNTIFS(Database!$C:$C,Pegsheet!$B32,Database!$J:$J,Pegsheet!K$2)</f>
        <v>0</v>
      </c>
      <c r="L32" s="42">
        <f>COUNTIFS(Database!$C:$C,Pegsheet!$B32,Database!$J:$J,Pegsheet!L$2)</f>
        <v>0</v>
      </c>
      <c r="M32" s="42">
        <f>COUNTIFS(Database!$C:$C,Pegsheet!$B32,Database!$J:$J,Pegsheet!M$2)</f>
        <v>0</v>
      </c>
      <c r="N32" s="36">
        <f t="shared" si="2"/>
        <v>0</v>
      </c>
      <c r="S32" s="45">
        <v>29</v>
      </c>
      <c r="T32" s="10">
        <v>43297</v>
      </c>
    </row>
    <row r="33" spans="1:20">
      <c r="A33" s="26">
        <v>31</v>
      </c>
      <c r="B33" s="32" t="str">
        <f>IF(List!B32="","",List!B32)</f>
        <v/>
      </c>
      <c r="C33" s="29"/>
      <c r="E33" s="42" t="str">
        <f t="shared" si="1"/>
        <v/>
      </c>
      <c r="F33" s="51"/>
      <c r="G33" s="42">
        <f>COUNTIFS(Database!$C:$C,Pegsheet!$B33,Database!$J:$J,Pegsheet!G$2)</f>
        <v>0</v>
      </c>
      <c r="H33" s="42">
        <f>COUNTIFS(Database!$C:$C,Pegsheet!$B33,Database!$J:$J,Pegsheet!H$2)</f>
        <v>0</v>
      </c>
      <c r="I33" s="42">
        <f>COUNTIFS(Database!$C:$C,Pegsheet!$B33,Database!$J:$J,Pegsheet!I$2)</f>
        <v>0</v>
      </c>
      <c r="J33" s="42">
        <f>COUNTIFS(Database!$C:$C,Pegsheet!$B33,Database!$J:$J,Pegsheet!J$2)</f>
        <v>0</v>
      </c>
      <c r="K33" s="42">
        <f>COUNTIFS(Database!$C:$C,Pegsheet!$B33,Database!$J:$J,Pegsheet!K$2)</f>
        <v>0</v>
      </c>
      <c r="L33" s="42">
        <f>COUNTIFS(Database!$C:$C,Pegsheet!$B33,Database!$J:$J,Pegsheet!L$2)</f>
        <v>0</v>
      </c>
      <c r="M33" s="42">
        <f>COUNTIFS(Database!$C:$C,Pegsheet!$B33,Database!$J:$J,Pegsheet!M$2)</f>
        <v>0</v>
      </c>
      <c r="N33" s="36">
        <f t="shared" si="2"/>
        <v>0</v>
      </c>
      <c r="S33" s="45">
        <v>30</v>
      </c>
      <c r="T33" s="10">
        <v>43304</v>
      </c>
    </row>
    <row r="34" spans="1:20">
      <c r="A34" s="26">
        <v>32</v>
      </c>
      <c r="B34" s="32" t="str">
        <f>IF(List!B33="","",List!B33)</f>
        <v/>
      </c>
      <c r="C34" s="29"/>
      <c r="E34" s="42" t="str">
        <f t="shared" si="1"/>
        <v/>
      </c>
      <c r="F34" s="51"/>
      <c r="G34" s="42">
        <f>COUNTIFS(Database!$C:$C,Pegsheet!$B34,Database!$J:$J,Pegsheet!G$2)</f>
        <v>0</v>
      </c>
      <c r="H34" s="42">
        <f>COUNTIFS(Database!$C:$C,Pegsheet!$B34,Database!$J:$J,Pegsheet!H$2)</f>
        <v>0</v>
      </c>
      <c r="I34" s="42">
        <f>COUNTIFS(Database!$C:$C,Pegsheet!$B34,Database!$J:$J,Pegsheet!I$2)</f>
        <v>0</v>
      </c>
      <c r="J34" s="42">
        <f>COUNTIFS(Database!$C:$C,Pegsheet!$B34,Database!$J:$J,Pegsheet!J$2)</f>
        <v>0</v>
      </c>
      <c r="K34" s="42">
        <f>COUNTIFS(Database!$C:$C,Pegsheet!$B34,Database!$J:$J,Pegsheet!K$2)</f>
        <v>0</v>
      </c>
      <c r="L34" s="42">
        <f>COUNTIFS(Database!$C:$C,Pegsheet!$B34,Database!$J:$J,Pegsheet!L$2)</f>
        <v>0</v>
      </c>
      <c r="M34" s="42">
        <f>COUNTIFS(Database!$C:$C,Pegsheet!$B34,Database!$J:$J,Pegsheet!M$2)</f>
        <v>0</v>
      </c>
      <c r="N34" s="36">
        <f t="shared" si="2"/>
        <v>0</v>
      </c>
      <c r="S34" s="45">
        <v>31</v>
      </c>
      <c r="T34" s="10">
        <v>43311</v>
      </c>
    </row>
    <row r="35" spans="1:20">
      <c r="A35" s="26">
        <v>33</v>
      </c>
      <c r="B35" s="32" t="str">
        <f>IF(List!B34="","",List!B34)</f>
        <v/>
      </c>
      <c r="C35" s="29"/>
      <c r="E35" s="42" t="str">
        <f t="shared" si="1"/>
        <v/>
      </c>
      <c r="F35" s="51"/>
      <c r="G35" s="42">
        <f>COUNTIFS(Database!$C:$C,Pegsheet!$B35,Database!$J:$J,Pegsheet!G$2)</f>
        <v>0</v>
      </c>
      <c r="H35" s="42">
        <f>COUNTIFS(Database!$C:$C,Pegsheet!$B35,Database!$J:$J,Pegsheet!H$2)</f>
        <v>0</v>
      </c>
      <c r="I35" s="42">
        <f>COUNTIFS(Database!$C:$C,Pegsheet!$B35,Database!$J:$J,Pegsheet!I$2)</f>
        <v>0</v>
      </c>
      <c r="J35" s="42">
        <f>COUNTIFS(Database!$C:$C,Pegsheet!$B35,Database!$J:$J,Pegsheet!J$2)</f>
        <v>0</v>
      </c>
      <c r="K35" s="42">
        <f>COUNTIFS(Database!$C:$C,Pegsheet!$B35,Database!$J:$J,Pegsheet!K$2)</f>
        <v>0</v>
      </c>
      <c r="L35" s="42">
        <f>COUNTIFS(Database!$C:$C,Pegsheet!$B35,Database!$J:$J,Pegsheet!L$2)</f>
        <v>0</v>
      </c>
      <c r="M35" s="42">
        <f>COUNTIFS(Database!$C:$C,Pegsheet!$B35,Database!$J:$J,Pegsheet!M$2)</f>
        <v>0</v>
      </c>
      <c r="N35" s="36">
        <f t="shared" si="2"/>
        <v>0</v>
      </c>
      <c r="S35" s="45">
        <v>32</v>
      </c>
      <c r="T35" s="10">
        <v>43318</v>
      </c>
    </row>
    <row r="36" spans="1:20">
      <c r="A36" s="26">
        <v>34</v>
      </c>
      <c r="B36" s="32" t="str">
        <f>IF(List!B35="","",List!B35)</f>
        <v/>
      </c>
      <c r="C36" s="29"/>
      <c r="E36" s="42" t="str">
        <f t="shared" si="1"/>
        <v/>
      </c>
      <c r="F36" s="51"/>
      <c r="G36" s="42">
        <f>COUNTIFS(Database!$C:$C,Pegsheet!$B36,Database!$J:$J,Pegsheet!G$2)</f>
        <v>0</v>
      </c>
      <c r="H36" s="42">
        <f>COUNTIFS(Database!$C:$C,Pegsheet!$B36,Database!$J:$J,Pegsheet!H$2)</f>
        <v>0</v>
      </c>
      <c r="I36" s="42">
        <f>COUNTIFS(Database!$C:$C,Pegsheet!$B36,Database!$J:$J,Pegsheet!I$2)</f>
        <v>0</v>
      </c>
      <c r="J36" s="42">
        <f>COUNTIFS(Database!$C:$C,Pegsheet!$B36,Database!$J:$J,Pegsheet!J$2)</f>
        <v>0</v>
      </c>
      <c r="K36" s="42">
        <f>COUNTIFS(Database!$C:$C,Pegsheet!$B36,Database!$J:$J,Pegsheet!K$2)</f>
        <v>0</v>
      </c>
      <c r="L36" s="42">
        <f>COUNTIFS(Database!$C:$C,Pegsheet!$B36,Database!$J:$J,Pegsheet!L$2)</f>
        <v>0</v>
      </c>
      <c r="M36" s="42">
        <f>COUNTIFS(Database!$C:$C,Pegsheet!$B36,Database!$J:$J,Pegsheet!M$2)</f>
        <v>0</v>
      </c>
      <c r="N36" s="36">
        <f t="shared" si="2"/>
        <v>0</v>
      </c>
      <c r="S36" s="45">
        <v>33</v>
      </c>
      <c r="T36" s="10">
        <v>43325</v>
      </c>
    </row>
    <row r="37" spans="1:20">
      <c r="A37" s="26">
        <v>35</v>
      </c>
      <c r="B37" s="32" t="str">
        <f>IF(List!B36="","",List!B36)</f>
        <v/>
      </c>
      <c r="C37" s="29"/>
      <c r="E37" s="42" t="str">
        <f t="shared" si="1"/>
        <v/>
      </c>
      <c r="F37" s="51"/>
      <c r="G37" s="42">
        <f>COUNTIFS(Database!$C:$C,Pegsheet!$B37,Database!$J:$J,Pegsheet!G$2)</f>
        <v>0</v>
      </c>
      <c r="H37" s="42">
        <f>COUNTIFS(Database!$C:$C,Pegsheet!$B37,Database!$J:$J,Pegsheet!H$2)</f>
        <v>0</v>
      </c>
      <c r="I37" s="42">
        <f>COUNTIFS(Database!$C:$C,Pegsheet!$B37,Database!$J:$J,Pegsheet!I$2)</f>
        <v>0</v>
      </c>
      <c r="J37" s="42">
        <f>COUNTIFS(Database!$C:$C,Pegsheet!$B37,Database!$J:$J,Pegsheet!J$2)</f>
        <v>0</v>
      </c>
      <c r="K37" s="42">
        <f>COUNTIFS(Database!$C:$C,Pegsheet!$B37,Database!$J:$J,Pegsheet!K$2)</f>
        <v>0</v>
      </c>
      <c r="L37" s="42">
        <f>COUNTIFS(Database!$C:$C,Pegsheet!$B37,Database!$J:$J,Pegsheet!L$2)</f>
        <v>0</v>
      </c>
      <c r="M37" s="42">
        <f>COUNTIFS(Database!$C:$C,Pegsheet!$B37,Database!$J:$J,Pegsheet!M$2)</f>
        <v>0</v>
      </c>
      <c r="N37" s="36">
        <f t="shared" si="2"/>
        <v>0</v>
      </c>
      <c r="S37" s="45">
        <v>34</v>
      </c>
      <c r="T37" s="10">
        <v>43332</v>
      </c>
    </row>
    <row r="38" spans="1:20">
      <c r="A38" s="26">
        <v>36</v>
      </c>
      <c r="B38" s="32" t="str">
        <f>IF(List!B37="","",List!B37)</f>
        <v/>
      </c>
      <c r="C38" s="29"/>
      <c r="E38" s="42" t="str">
        <f t="shared" si="1"/>
        <v/>
      </c>
      <c r="F38" s="51"/>
      <c r="G38" s="42">
        <f>COUNTIFS(Database!$C:$C,Pegsheet!$B38,Database!$J:$J,Pegsheet!G$2)</f>
        <v>0</v>
      </c>
      <c r="H38" s="42">
        <f>COUNTIFS(Database!$C:$C,Pegsheet!$B38,Database!$J:$J,Pegsheet!H$2)</f>
        <v>0</v>
      </c>
      <c r="I38" s="42">
        <f>COUNTIFS(Database!$C:$C,Pegsheet!$B38,Database!$J:$J,Pegsheet!I$2)</f>
        <v>0</v>
      </c>
      <c r="J38" s="42">
        <f>COUNTIFS(Database!$C:$C,Pegsheet!$B38,Database!$J:$J,Pegsheet!J$2)</f>
        <v>0</v>
      </c>
      <c r="K38" s="42">
        <f>COUNTIFS(Database!$C:$C,Pegsheet!$B38,Database!$J:$J,Pegsheet!K$2)</f>
        <v>0</v>
      </c>
      <c r="L38" s="42">
        <f>COUNTIFS(Database!$C:$C,Pegsheet!$B38,Database!$J:$J,Pegsheet!L$2)</f>
        <v>0</v>
      </c>
      <c r="M38" s="42">
        <f>COUNTIFS(Database!$C:$C,Pegsheet!$B38,Database!$J:$J,Pegsheet!M$2)</f>
        <v>0</v>
      </c>
      <c r="N38" s="36">
        <f t="shared" si="2"/>
        <v>0</v>
      </c>
      <c r="S38" s="45">
        <v>35</v>
      </c>
      <c r="T38" s="10">
        <v>43339</v>
      </c>
    </row>
    <row r="39" spans="1:20">
      <c r="A39" s="26">
        <v>37</v>
      </c>
      <c r="B39" s="32" t="str">
        <f>IF(List!B38="","",List!B38)</f>
        <v/>
      </c>
      <c r="C39" s="29"/>
      <c r="E39" s="42" t="str">
        <f t="shared" si="1"/>
        <v/>
      </c>
      <c r="F39" s="51"/>
      <c r="G39" s="42">
        <f>COUNTIFS(Database!$C:$C,Pegsheet!$B39,Database!$J:$J,Pegsheet!G$2)</f>
        <v>0</v>
      </c>
      <c r="H39" s="42">
        <f>COUNTIFS(Database!$C:$C,Pegsheet!$B39,Database!$J:$J,Pegsheet!H$2)</f>
        <v>0</v>
      </c>
      <c r="I39" s="42">
        <f>COUNTIFS(Database!$C:$C,Pegsheet!$B39,Database!$J:$J,Pegsheet!I$2)</f>
        <v>0</v>
      </c>
      <c r="J39" s="42">
        <f>COUNTIFS(Database!$C:$C,Pegsheet!$B39,Database!$J:$J,Pegsheet!J$2)</f>
        <v>0</v>
      </c>
      <c r="K39" s="42">
        <f>COUNTIFS(Database!$C:$C,Pegsheet!$B39,Database!$J:$J,Pegsheet!K$2)</f>
        <v>0</v>
      </c>
      <c r="L39" s="42">
        <f>COUNTIFS(Database!$C:$C,Pegsheet!$B39,Database!$J:$J,Pegsheet!L$2)</f>
        <v>0</v>
      </c>
      <c r="M39" s="42">
        <f>COUNTIFS(Database!$C:$C,Pegsheet!$B39,Database!$J:$J,Pegsheet!M$2)</f>
        <v>0</v>
      </c>
      <c r="N39" s="36">
        <f t="shared" si="2"/>
        <v>0</v>
      </c>
      <c r="S39" s="45">
        <v>36</v>
      </c>
      <c r="T39" s="10">
        <v>43346</v>
      </c>
    </row>
    <row r="40" spans="1:20">
      <c r="A40" s="26">
        <v>38</v>
      </c>
      <c r="B40" s="32" t="str">
        <f>IF(List!B39="","",List!B39)</f>
        <v/>
      </c>
      <c r="C40" s="29"/>
      <c r="E40" s="42" t="str">
        <f t="shared" si="1"/>
        <v/>
      </c>
      <c r="F40" s="51"/>
      <c r="G40" s="42">
        <f>COUNTIFS(Database!$C:$C,Pegsheet!$B40,Database!$J:$J,Pegsheet!G$2)</f>
        <v>0</v>
      </c>
      <c r="H40" s="42">
        <f>COUNTIFS(Database!$C:$C,Pegsheet!$B40,Database!$J:$J,Pegsheet!H$2)</f>
        <v>0</v>
      </c>
      <c r="I40" s="42">
        <f>COUNTIFS(Database!$C:$C,Pegsheet!$B40,Database!$J:$J,Pegsheet!I$2)</f>
        <v>0</v>
      </c>
      <c r="J40" s="42">
        <f>COUNTIFS(Database!$C:$C,Pegsheet!$B40,Database!$J:$J,Pegsheet!J$2)</f>
        <v>0</v>
      </c>
      <c r="K40" s="42">
        <f>COUNTIFS(Database!$C:$C,Pegsheet!$B40,Database!$J:$J,Pegsheet!K$2)</f>
        <v>0</v>
      </c>
      <c r="L40" s="42">
        <f>COUNTIFS(Database!$C:$C,Pegsheet!$B40,Database!$J:$J,Pegsheet!L$2)</f>
        <v>0</v>
      </c>
      <c r="M40" s="42">
        <f>COUNTIFS(Database!$C:$C,Pegsheet!$B40,Database!$J:$J,Pegsheet!M$2)</f>
        <v>0</v>
      </c>
      <c r="N40" s="36">
        <f t="shared" si="2"/>
        <v>0</v>
      </c>
      <c r="S40" s="45">
        <v>37</v>
      </c>
      <c r="T40" s="10">
        <v>43353</v>
      </c>
    </row>
    <row r="41" spans="1:20">
      <c r="A41" s="26">
        <v>39</v>
      </c>
      <c r="B41" s="32" t="str">
        <f>IF(List!B40="","",List!B40)</f>
        <v/>
      </c>
      <c r="C41" s="29"/>
      <c r="E41" s="42" t="str">
        <f t="shared" si="1"/>
        <v/>
      </c>
      <c r="F41" s="51"/>
      <c r="G41" s="42">
        <f>COUNTIFS(Database!$C:$C,Pegsheet!$B41,Database!$J:$J,Pegsheet!G$2)</f>
        <v>0</v>
      </c>
      <c r="H41" s="42">
        <f>COUNTIFS(Database!$C:$C,Pegsheet!$B41,Database!$J:$J,Pegsheet!H$2)</f>
        <v>0</v>
      </c>
      <c r="I41" s="42">
        <f>COUNTIFS(Database!$C:$C,Pegsheet!$B41,Database!$J:$J,Pegsheet!I$2)</f>
        <v>0</v>
      </c>
      <c r="J41" s="42">
        <f>COUNTIFS(Database!$C:$C,Pegsheet!$B41,Database!$J:$J,Pegsheet!J$2)</f>
        <v>0</v>
      </c>
      <c r="K41" s="42">
        <f>COUNTIFS(Database!$C:$C,Pegsheet!$B41,Database!$J:$J,Pegsheet!K$2)</f>
        <v>0</v>
      </c>
      <c r="L41" s="42">
        <f>COUNTIFS(Database!$C:$C,Pegsheet!$B41,Database!$J:$J,Pegsheet!L$2)</f>
        <v>0</v>
      </c>
      <c r="M41" s="42">
        <f>COUNTIFS(Database!$C:$C,Pegsheet!$B41,Database!$J:$J,Pegsheet!M$2)</f>
        <v>0</v>
      </c>
      <c r="N41" s="36">
        <f t="shared" si="2"/>
        <v>0</v>
      </c>
      <c r="S41" s="45">
        <v>38</v>
      </c>
      <c r="T41" s="10">
        <v>43360</v>
      </c>
    </row>
    <row r="42" spans="1:20">
      <c r="A42" s="26">
        <v>40</v>
      </c>
      <c r="B42" s="32" t="str">
        <f>IF(List!B41="","",List!B41)</f>
        <v/>
      </c>
      <c r="C42" s="29"/>
      <c r="E42" s="42" t="str">
        <f t="shared" si="1"/>
        <v/>
      </c>
      <c r="F42" s="51"/>
      <c r="G42" s="42">
        <f>COUNTIFS(Database!$C:$C,Pegsheet!$B42,Database!$J:$J,Pegsheet!G$2)</f>
        <v>0</v>
      </c>
      <c r="H42" s="42">
        <f>COUNTIFS(Database!$C:$C,Pegsheet!$B42,Database!$J:$J,Pegsheet!H$2)</f>
        <v>0</v>
      </c>
      <c r="I42" s="42">
        <f>COUNTIFS(Database!$C:$C,Pegsheet!$B42,Database!$J:$J,Pegsheet!I$2)</f>
        <v>0</v>
      </c>
      <c r="J42" s="42">
        <f>COUNTIFS(Database!$C:$C,Pegsheet!$B42,Database!$J:$J,Pegsheet!J$2)</f>
        <v>0</v>
      </c>
      <c r="K42" s="42">
        <f>COUNTIFS(Database!$C:$C,Pegsheet!$B42,Database!$J:$J,Pegsheet!K$2)</f>
        <v>0</v>
      </c>
      <c r="L42" s="42">
        <f>COUNTIFS(Database!$C:$C,Pegsheet!$B42,Database!$J:$J,Pegsheet!L$2)</f>
        <v>0</v>
      </c>
      <c r="M42" s="42">
        <f>COUNTIFS(Database!$C:$C,Pegsheet!$B42,Database!$J:$J,Pegsheet!M$2)</f>
        <v>0</v>
      </c>
      <c r="N42" s="36">
        <f t="shared" si="2"/>
        <v>0</v>
      </c>
      <c r="S42" s="45">
        <v>39</v>
      </c>
      <c r="T42" s="10">
        <v>43367</v>
      </c>
    </row>
    <row r="43" spans="1:20">
      <c r="A43" s="26">
        <v>41</v>
      </c>
      <c r="B43" s="32" t="str">
        <f>IF(List!B42="","",List!B42)</f>
        <v/>
      </c>
      <c r="C43" s="29"/>
      <c r="E43" s="42" t="str">
        <f t="shared" si="1"/>
        <v/>
      </c>
      <c r="F43" s="51"/>
      <c r="G43" s="42">
        <f>COUNTIFS(Database!$C:$C,Pegsheet!$B43,Database!$J:$J,Pegsheet!G$2)</f>
        <v>0</v>
      </c>
      <c r="H43" s="42">
        <f>COUNTIFS(Database!$C:$C,Pegsheet!$B43,Database!$J:$J,Pegsheet!H$2)</f>
        <v>0</v>
      </c>
      <c r="I43" s="42">
        <f>COUNTIFS(Database!$C:$C,Pegsheet!$B43,Database!$J:$J,Pegsheet!I$2)</f>
        <v>0</v>
      </c>
      <c r="J43" s="42">
        <f>COUNTIFS(Database!$C:$C,Pegsheet!$B43,Database!$J:$J,Pegsheet!J$2)</f>
        <v>0</v>
      </c>
      <c r="K43" s="42">
        <f>COUNTIFS(Database!$C:$C,Pegsheet!$B43,Database!$J:$J,Pegsheet!K$2)</f>
        <v>0</v>
      </c>
      <c r="L43" s="42">
        <f>COUNTIFS(Database!$C:$C,Pegsheet!$B43,Database!$J:$J,Pegsheet!L$2)</f>
        <v>0</v>
      </c>
      <c r="M43" s="42">
        <f>COUNTIFS(Database!$C:$C,Pegsheet!$B43,Database!$J:$J,Pegsheet!M$2)</f>
        <v>0</v>
      </c>
      <c r="N43" s="36">
        <f t="shared" si="2"/>
        <v>0</v>
      </c>
      <c r="S43" s="45">
        <v>40</v>
      </c>
      <c r="T43" s="10">
        <v>43374</v>
      </c>
    </row>
    <row r="44" spans="1:20">
      <c r="A44" s="26">
        <v>42</v>
      </c>
      <c r="B44" s="32" t="str">
        <f>IF(List!B43="","",List!B43)</f>
        <v/>
      </c>
      <c r="C44" s="29"/>
      <c r="E44" s="42" t="str">
        <f t="shared" si="1"/>
        <v/>
      </c>
      <c r="F44" s="51"/>
      <c r="G44" s="42">
        <f>COUNTIFS(Database!$C:$C,Pegsheet!$B44,Database!$J:$J,Pegsheet!G$2)</f>
        <v>0</v>
      </c>
      <c r="H44" s="42">
        <f>COUNTIFS(Database!$C:$C,Pegsheet!$B44,Database!$J:$J,Pegsheet!H$2)</f>
        <v>0</v>
      </c>
      <c r="I44" s="42">
        <f>COUNTIFS(Database!$C:$C,Pegsheet!$B44,Database!$J:$J,Pegsheet!I$2)</f>
        <v>0</v>
      </c>
      <c r="J44" s="42">
        <f>COUNTIFS(Database!$C:$C,Pegsheet!$B44,Database!$J:$J,Pegsheet!J$2)</f>
        <v>0</v>
      </c>
      <c r="K44" s="42">
        <f>COUNTIFS(Database!$C:$C,Pegsheet!$B44,Database!$J:$J,Pegsheet!K$2)</f>
        <v>0</v>
      </c>
      <c r="L44" s="42">
        <f>COUNTIFS(Database!$C:$C,Pegsheet!$B44,Database!$J:$J,Pegsheet!L$2)</f>
        <v>0</v>
      </c>
      <c r="M44" s="42">
        <f>COUNTIFS(Database!$C:$C,Pegsheet!$B44,Database!$J:$J,Pegsheet!M$2)</f>
        <v>0</v>
      </c>
      <c r="N44" s="36">
        <f t="shared" si="2"/>
        <v>0</v>
      </c>
      <c r="S44" s="45">
        <v>41</v>
      </c>
      <c r="T44" s="10">
        <v>43381</v>
      </c>
    </row>
    <row r="45" spans="1:20">
      <c r="A45" s="26">
        <v>43</v>
      </c>
      <c r="B45" s="32" t="str">
        <f>IF(List!B44="","",List!B44)</f>
        <v/>
      </c>
      <c r="C45" s="29"/>
      <c r="E45" s="42" t="str">
        <f t="shared" si="1"/>
        <v/>
      </c>
      <c r="F45" s="51"/>
      <c r="G45" s="42">
        <f>COUNTIFS(Database!$C:$C,Pegsheet!$B45,Database!$J:$J,Pegsheet!G$2)</f>
        <v>0</v>
      </c>
      <c r="H45" s="42">
        <f>COUNTIFS(Database!$C:$C,Pegsheet!$B45,Database!$J:$J,Pegsheet!H$2)</f>
        <v>0</v>
      </c>
      <c r="I45" s="42">
        <f>COUNTIFS(Database!$C:$C,Pegsheet!$B45,Database!$J:$J,Pegsheet!I$2)</f>
        <v>0</v>
      </c>
      <c r="J45" s="42">
        <f>COUNTIFS(Database!$C:$C,Pegsheet!$B45,Database!$J:$J,Pegsheet!J$2)</f>
        <v>0</v>
      </c>
      <c r="K45" s="42">
        <f>COUNTIFS(Database!$C:$C,Pegsheet!$B45,Database!$J:$J,Pegsheet!K$2)</f>
        <v>0</v>
      </c>
      <c r="L45" s="42">
        <f>COUNTIFS(Database!$C:$C,Pegsheet!$B45,Database!$J:$J,Pegsheet!L$2)</f>
        <v>0</v>
      </c>
      <c r="M45" s="42">
        <f>COUNTIFS(Database!$C:$C,Pegsheet!$B45,Database!$J:$J,Pegsheet!M$2)</f>
        <v>0</v>
      </c>
      <c r="N45" s="36">
        <f t="shared" si="2"/>
        <v>0</v>
      </c>
      <c r="S45" s="45">
        <v>42</v>
      </c>
      <c r="T45" s="10">
        <v>43388</v>
      </c>
    </row>
    <row r="46" spans="1:20">
      <c r="A46" s="26">
        <v>44</v>
      </c>
      <c r="B46" s="32" t="str">
        <f>IF(List!B45="","",List!B45)</f>
        <v/>
      </c>
      <c r="C46" s="29"/>
      <c r="E46" s="42" t="str">
        <f t="shared" si="1"/>
        <v/>
      </c>
      <c r="F46" s="51"/>
      <c r="G46" s="42">
        <f>COUNTIFS(Database!$C:$C,Pegsheet!$B46,Database!$J:$J,Pegsheet!G$2)</f>
        <v>0</v>
      </c>
      <c r="H46" s="42">
        <f>COUNTIFS(Database!$C:$C,Pegsheet!$B46,Database!$J:$J,Pegsheet!H$2)</f>
        <v>0</v>
      </c>
      <c r="I46" s="42">
        <f>COUNTIFS(Database!$C:$C,Pegsheet!$B46,Database!$J:$J,Pegsheet!I$2)</f>
        <v>0</v>
      </c>
      <c r="J46" s="42">
        <f>COUNTIFS(Database!$C:$C,Pegsheet!$B46,Database!$J:$J,Pegsheet!J$2)</f>
        <v>0</v>
      </c>
      <c r="K46" s="42">
        <f>COUNTIFS(Database!$C:$C,Pegsheet!$B46,Database!$J:$J,Pegsheet!K$2)</f>
        <v>0</v>
      </c>
      <c r="L46" s="42">
        <f>COUNTIFS(Database!$C:$C,Pegsheet!$B46,Database!$J:$J,Pegsheet!L$2)</f>
        <v>0</v>
      </c>
      <c r="M46" s="42">
        <f>COUNTIFS(Database!$C:$C,Pegsheet!$B46,Database!$J:$J,Pegsheet!M$2)</f>
        <v>0</v>
      </c>
      <c r="N46" s="36">
        <f t="shared" si="2"/>
        <v>0</v>
      </c>
      <c r="S46" s="45">
        <v>43</v>
      </c>
      <c r="T46" s="10">
        <v>43395</v>
      </c>
    </row>
    <row r="47" spans="1:20">
      <c r="A47" s="26">
        <v>45</v>
      </c>
      <c r="B47" s="32" t="str">
        <f>IF(List!B46="","",List!B46)</f>
        <v/>
      </c>
      <c r="C47" s="29"/>
      <c r="E47" s="42" t="str">
        <f t="shared" si="1"/>
        <v/>
      </c>
      <c r="F47" s="51"/>
      <c r="G47" s="42">
        <f>COUNTIFS(Database!$C:$C,Pegsheet!$B47,Database!$J:$J,Pegsheet!G$2)</f>
        <v>0</v>
      </c>
      <c r="H47" s="42">
        <f>COUNTIFS(Database!$C:$C,Pegsheet!$B47,Database!$J:$J,Pegsheet!H$2)</f>
        <v>0</v>
      </c>
      <c r="I47" s="42">
        <f>COUNTIFS(Database!$C:$C,Pegsheet!$B47,Database!$J:$J,Pegsheet!I$2)</f>
        <v>0</v>
      </c>
      <c r="J47" s="42">
        <f>COUNTIFS(Database!$C:$C,Pegsheet!$B47,Database!$J:$J,Pegsheet!J$2)</f>
        <v>0</v>
      </c>
      <c r="K47" s="42">
        <f>COUNTIFS(Database!$C:$C,Pegsheet!$B47,Database!$J:$J,Pegsheet!K$2)</f>
        <v>0</v>
      </c>
      <c r="L47" s="42">
        <f>COUNTIFS(Database!$C:$C,Pegsheet!$B47,Database!$J:$J,Pegsheet!L$2)</f>
        <v>0</v>
      </c>
      <c r="M47" s="42">
        <f>COUNTIFS(Database!$C:$C,Pegsheet!$B47,Database!$J:$J,Pegsheet!M$2)</f>
        <v>0</v>
      </c>
      <c r="N47" s="36">
        <f t="shared" si="2"/>
        <v>0</v>
      </c>
      <c r="S47" s="45">
        <v>44</v>
      </c>
      <c r="T47" s="10">
        <v>43402</v>
      </c>
    </row>
    <row r="48" spans="1:20">
      <c r="A48" s="26">
        <v>46</v>
      </c>
      <c r="B48" s="32" t="str">
        <f>IF(List!B47="","",List!B47)</f>
        <v/>
      </c>
      <c r="C48" s="29"/>
      <c r="E48" s="42" t="str">
        <f t="shared" si="1"/>
        <v/>
      </c>
      <c r="F48" s="51"/>
      <c r="G48" s="42">
        <f>COUNTIFS(Database!$C:$C,Pegsheet!$B48,Database!$J:$J,Pegsheet!G$2)</f>
        <v>0</v>
      </c>
      <c r="H48" s="42">
        <f>COUNTIFS(Database!$C:$C,Pegsheet!$B48,Database!$J:$J,Pegsheet!H$2)</f>
        <v>0</v>
      </c>
      <c r="I48" s="42">
        <f>COUNTIFS(Database!$C:$C,Pegsheet!$B48,Database!$J:$J,Pegsheet!I$2)</f>
        <v>0</v>
      </c>
      <c r="J48" s="42">
        <f>COUNTIFS(Database!$C:$C,Pegsheet!$B48,Database!$J:$J,Pegsheet!J$2)</f>
        <v>0</v>
      </c>
      <c r="K48" s="42">
        <f>COUNTIFS(Database!$C:$C,Pegsheet!$B48,Database!$J:$J,Pegsheet!K$2)</f>
        <v>0</v>
      </c>
      <c r="L48" s="42">
        <f>COUNTIFS(Database!$C:$C,Pegsheet!$B48,Database!$J:$J,Pegsheet!L$2)</f>
        <v>0</v>
      </c>
      <c r="M48" s="42">
        <f>COUNTIFS(Database!$C:$C,Pegsheet!$B48,Database!$J:$J,Pegsheet!M$2)</f>
        <v>0</v>
      </c>
      <c r="N48" s="36">
        <f t="shared" si="2"/>
        <v>0</v>
      </c>
      <c r="S48" s="45">
        <v>45</v>
      </c>
      <c r="T48" s="10">
        <v>43409</v>
      </c>
    </row>
    <row r="49" spans="1:20">
      <c r="A49" s="26">
        <v>47</v>
      </c>
      <c r="B49" s="32" t="str">
        <f>IF(List!B48="","",List!B48)</f>
        <v/>
      </c>
      <c r="C49" s="29"/>
      <c r="E49" s="42" t="str">
        <f t="shared" si="1"/>
        <v/>
      </c>
      <c r="F49" s="51"/>
      <c r="G49" s="42">
        <f>COUNTIFS(Database!$C:$C,Pegsheet!$B49,Database!$J:$J,Pegsheet!G$2)</f>
        <v>0</v>
      </c>
      <c r="H49" s="42">
        <f>COUNTIFS(Database!$C:$C,Pegsheet!$B49,Database!$J:$J,Pegsheet!H$2)</f>
        <v>0</v>
      </c>
      <c r="I49" s="42">
        <f>COUNTIFS(Database!$C:$C,Pegsheet!$B49,Database!$J:$J,Pegsheet!I$2)</f>
        <v>0</v>
      </c>
      <c r="J49" s="42">
        <f>COUNTIFS(Database!$C:$C,Pegsheet!$B49,Database!$J:$J,Pegsheet!J$2)</f>
        <v>0</v>
      </c>
      <c r="K49" s="42">
        <f>COUNTIFS(Database!$C:$C,Pegsheet!$B49,Database!$J:$J,Pegsheet!K$2)</f>
        <v>0</v>
      </c>
      <c r="L49" s="42">
        <f>COUNTIFS(Database!$C:$C,Pegsheet!$B49,Database!$J:$J,Pegsheet!L$2)</f>
        <v>0</v>
      </c>
      <c r="M49" s="42">
        <f>COUNTIFS(Database!$C:$C,Pegsheet!$B49,Database!$J:$J,Pegsheet!M$2)</f>
        <v>0</v>
      </c>
      <c r="N49" s="36">
        <f t="shared" si="2"/>
        <v>0</v>
      </c>
      <c r="S49" s="45">
        <v>46</v>
      </c>
      <c r="T49" s="10">
        <v>43416</v>
      </c>
    </row>
    <row r="50" spans="1:20">
      <c r="A50" s="26">
        <v>48</v>
      </c>
      <c r="B50" s="32" t="str">
        <f>IF(List!B49="","",List!B49)</f>
        <v/>
      </c>
      <c r="C50" s="29"/>
      <c r="E50" s="42" t="str">
        <f t="shared" si="1"/>
        <v/>
      </c>
      <c r="F50" s="51"/>
      <c r="G50" s="42">
        <f>COUNTIFS(Database!$C:$C,Pegsheet!$B50,Database!$J:$J,Pegsheet!G$2)</f>
        <v>0</v>
      </c>
      <c r="H50" s="42">
        <f>COUNTIFS(Database!$C:$C,Pegsheet!$B50,Database!$J:$J,Pegsheet!H$2)</f>
        <v>0</v>
      </c>
      <c r="I50" s="42">
        <f>COUNTIFS(Database!$C:$C,Pegsheet!$B50,Database!$J:$J,Pegsheet!I$2)</f>
        <v>0</v>
      </c>
      <c r="J50" s="42">
        <f>COUNTIFS(Database!$C:$C,Pegsheet!$B50,Database!$J:$J,Pegsheet!J$2)</f>
        <v>0</v>
      </c>
      <c r="K50" s="42">
        <f>COUNTIFS(Database!$C:$C,Pegsheet!$B50,Database!$J:$J,Pegsheet!K$2)</f>
        <v>0</v>
      </c>
      <c r="L50" s="42">
        <f>COUNTIFS(Database!$C:$C,Pegsheet!$B50,Database!$J:$J,Pegsheet!L$2)</f>
        <v>0</v>
      </c>
      <c r="M50" s="42">
        <f>COUNTIFS(Database!$C:$C,Pegsheet!$B50,Database!$J:$J,Pegsheet!M$2)</f>
        <v>0</v>
      </c>
      <c r="N50" s="36">
        <f t="shared" si="2"/>
        <v>0</v>
      </c>
      <c r="S50" s="45">
        <v>47</v>
      </c>
      <c r="T50" s="10">
        <v>43423</v>
      </c>
    </row>
    <row r="51" spans="1:20">
      <c r="A51" s="26">
        <v>49</v>
      </c>
      <c r="B51" s="32" t="str">
        <f>IF(List!B50="","",List!B50)</f>
        <v/>
      </c>
      <c r="C51" s="29"/>
      <c r="E51" s="42" t="str">
        <f t="shared" si="1"/>
        <v/>
      </c>
      <c r="F51" s="51"/>
      <c r="G51" s="42">
        <f>COUNTIFS(Database!$C:$C,Pegsheet!$B51,Database!$J:$J,Pegsheet!G$2)</f>
        <v>0</v>
      </c>
      <c r="H51" s="42">
        <f>COUNTIFS(Database!$C:$C,Pegsheet!$B51,Database!$J:$J,Pegsheet!H$2)</f>
        <v>0</v>
      </c>
      <c r="I51" s="42">
        <f>COUNTIFS(Database!$C:$C,Pegsheet!$B51,Database!$J:$J,Pegsheet!I$2)</f>
        <v>0</v>
      </c>
      <c r="J51" s="42">
        <f>COUNTIFS(Database!$C:$C,Pegsheet!$B51,Database!$J:$J,Pegsheet!J$2)</f>
        <v>0</v>
      </c>
      <c r="K51" s="42">
        <f>COUNTIFS(Database!$C:$C,Pegsheet!$B51,Database!$J:$J,Pegsheet!K$2)</f>
        <v>0</v>
      </c>
      <c r="L51" s="42">
        <f>COUNTIFS(Database!$C:$C,Pegsheet!$B51,Database!$J:$J,Pegsheet!L$2)</f>
        <v>0</v>
      </c>
      <c r="M51" s="42">
        <f>COUNTIFS(Database!$C:$C,Pegsheet!$B51,Database!$J:$J,Pegsheet!M$2)</f>
        <v>0</v>
      </c>
      <c r="N51" s="36">
        <f t="shared" si="2"/>
        <v>0</v>
      </c>
      <c r="S51" s="45">
        <v>48</v>
      </c>
      <c r="T51" s="10">
        <v>43430</v>
      </c>
    </row>
    <row r="52" spans="1:20" ht="15.75" thickBot="1">
      <c r="A52" s="26">
        <v>50</v>
      </c>
      <c r="B52" s="32" t="str">
        <f>IF(List!B51="","",List!B51)</f>
        <v/>
      </c>
      <c r="C52" s="30"/>
      <c r="E52" s="43" t="str">
        <f t="shared" si="1"/>
        <v/>
      </c>
      <c r="F52" s="52"/>
      <c r="G52" s="43">
        <f>COUNTIFS(Database!$C:$C,Pegsheet!$B52,Database!$J:$J,Pegsheet!G$2)</f>
        <v>0</v>
      </c>
      <c r="H52" s="43">
        <f>COUNTIFS(Database!$C:$C,Pegsheet!$B52,Database!$J:$J,Pegsheet!H$2)</f>
        <v>0</v>
      </c>
      <c r="I52" s="43">
        <f>COUNTIFS(Database!$C:$C,Pegsheet!$B52,Database!$J:$J,Pegsheet!I$2)</f>
        <v>0</v>
      </c>
      <c r="J52" s="43">
        <f>COUNTIFS(Database!$C:$C,Pegsheet!$B52,Database!$J:$J,Pegsheet!J$2)</f>
        <v>0</v>
      </c>
      <c r="K52" s="43">
        <f>COUNTIFS(Database!$C:$C,Pegsheet!$B52,Database!$J:$J,Pegsheet!K$2)</f>
        <v>0</v>
      </c>
      <c r="L52" s="43">
        <f>COUNTIFS(Database!$C:$C,Pegsheet!$B52,Database!$J:$J,Pegsheet!L$2)</f>
        <v>0</v>
      </c>
      <c r="M52" s="43">
        <f>COUNTIFS(Database!$C:$C,Pegsheet!$B52,Database!$J:$J,Pegsheet!M$2)</f>
        <v>0</v>
      </c>
      <c r="N52" s="37">
        <f>SUM(G52:M52)</f>
        <v>0</v>
      </c>
      <c r="S52" s="45">
        <v>49</v>
      </c>
      <c r="T52" s="10">
        <v>43437</v>
      </c>
    </row>
    <row r="53" spans="1:20" ht="30" customHeight="1" thickBot="1">
      <c r="A53" s="33" t="s">
        <v>1604</v>
      </c>
      <c r="B53" s="48"/>
      <c r="C53" s="49">
        <f>SUM($C$3:$C$52)</f>
        <v>0</v>
      </c>
      <c r="E53" s="46">
        <f>SUM(E3:E52)</f>
        <v>0</v>
      </c>
      <c r="F53" s="47"/>
      <c r="G53" s="44">
        <f>SUM(G3:G52)</f>
        <v>0</v>
      </c>
      <c r="H53" s="44">
        <f t="shared" ref="H53:M53" si="3">SUM(H3:H52)</f>
        <v>0</v>
      </c>
      <c r="I53" s="44">
        <f t="shared" si="3"/>
        <v>0</v>
      </c>
      <c r="J53" s="44">
        <f t="shared" si="3"/>
        <v>0</v>
      </c>
      <c r="K53" s="44">
        <f t="shared" si="3"/>
        <v>0</v>
      </c>
      <c r="L53" s="44">
        <f t="shared" si="3"/>
        <v>0</v>
      </c>
      <c r="M53" s="44">
        <f t="shared" si="3"/>
        <v>0</v>
      </c>
      <c r="N53" s="34" t="str">
        <f>IF(SUM($N$3:$N$52)=$C$53,"Compliant","Non-Compliant")</f>
        <v>Compliant</v>
      </c>
      <c r="S53" s="45">
        <v>50</v>
      </c>
      <c r="T53" s="10">
        <v>43444</v>
      </c>
    </row>
    <row r="54" spans="1:20" hidden="1">
      <c r="S54" s="45">
        <v>51</v>
      </c>
      <c r="T54" s="10">
        <v>43451</v>
      </c>
    </row>
    <row r="55" spans="1:20" hidden="1">
      <c r="S55" s="45">
        <v>52</v>
      </c>
      <c r="T55" s="10">
        <v>43458</v>
      </c>
    </row>
    <row r="56" spans="1:20" hidden="1">
      <c r="T56" s="10"/>
    </row>
    <row r="57" spans="1:20" hidden="1">
      <c r="T57" s="10"/>
    </row>
    <row r="58" spans="1:20" hidden="1">
      <c r="T58" s="10"/>
    </row>
  </sheetData>
  <sheetProtection algorithmName="SHA-512" hashValue="+mjTIOcUwHnYS0inXlBd32/vLk+dlAkA08VyGceDzYXB65dXWPkZIreA4f78O4KnR0TX8xPvfCCGPU9Zzs3OPQ==" saltValue="qasvbANeq5c6huIrCofYqw==" spinCount="100000" sheet="1" objects="1" scenarios="1"/>
  <mergeCells count="1">
    <mergeCell ref="G1:M1"/>
  </mergeCells>
  <conditionalFormatting sqref="G3:M52">
    <cfRule type="cellIs" dxfId="3" priority="3" operator="lessThan">
      <formula>1</formula>
    </cfRule>
    <cfRule type="cellIs" dxfId="2" priority="4" operator="greaterThan">
      <formula>0</formula>
    </cfRule>
  </conditionalFormatting>
  <conditionalFormatting sqref="E3:E52">
    <cfRule type="cellIs" dxfId="1" priority="1" operator="equal">
      <formula>"Done!"</formula>
    </cfRule>
    <cfRule type="cellIs" dxfId="0" priority="2" operator="greaterThanOrEqual">
      <formula>1</formula>
    </cfRule>
  </conditionalFormatting>
  <pageMargins left="0.7" right="0.7" top="0.75" bottom="0.75" header="0.3" footer="0.3"/>
  <pageSetup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FF00"/>
  </sheetPr>
  <dimension ref="A1:F51"/>
  <sheetViews>
    <sheetView topLeftCell="B1" zoomScale="85" zoomScaleNormal="85" workbookViewId="0">
      <pane ySplit="1" topLeftCell="A2" activePane="bottomLeft" state="frozen"/>
      <selection pane="bottomLeft" activeCell="E8" sqref="E8"/>
    </sheetView>
  </sheetViews>
  <sheetFormatPr defaultRowHeight="15"/>
  <cols>
    <col min="1" max="4" width="54.42578125" style="195" customWidth="1"/>
  </cols>
  <sheetData>
    <row r="1" spans="1:4">
      <c r="A1" s="192" t="s">
        <v>1616</v>
      </c>
      <c r="B1" s="192" t="s">
        <v>1617</v>
      </c>
      <c r="C1" s="192" t="s">
        <v>5</v>
      </c>
      <c r="D1" s="192" t="s">
        <v>213</v>
      </c>
    </row>
    <row r="2" spans="1:4">
      <c r="A2" s="260" t="s">
        <v>1</v>
      </c>
      <c r="B2" s="260"/>
      <c r="C2" s="260"/>
      <c r="D2" s="260"/>
    </row>
    <row r="3" spans="1:4" ht="25.5">
      <c r="A3" s="245" t="s">
        <v>208</v>
      </c>
      <c r="B3" s="259" t="s">
        <v>1925</v>
      </c>
      <c r="C3" s="150" t="s">
        <v>1882</v>
      </c>
      <c r="D3" s="213" t="s">
        <v>2785</v>
      </c>
    </row>
    <row r="4" spans="1:4" ht="38.25">
      <c r="A4" s="246"/>
      <c r="B4" s="259"/>
      <c r="C4" s="150" t="s">
        <v>1883</v>
      </c>
      <c r="D4" s="150" t="s">
        <v>1884</v>
      </c>
    </row>
    <row r="5" spans="1:4" ht="25.5">
      <c r="A5" s="246"/>
      <c r="B5" s="259"/>
      <c r="C5" s="150" t="s">
        <v>1885</v>
      </c>
      <c r="D5" s="150" t="s">
        <v>1886</v>
      </c>
    </row>
    <row r="6" spans="1:4" ht="25.5">
      <c r="A6" s="246"/>
      <c r="B6" s="259"/>
      <c r="C6" s="150" t="s">
        <v>1887</v>
      </c>
      <c r="D6" s="150" t="s">
        <v>1930</v>
      </c>
    </row>
    <row r="7" spans="1:4" ht="25.5">
      <c r="A7" s="246"/>
      <c r="B7" s="259"/>
      <c r="C7" s="150" t="s">
        <v>1888</v>
      </c>
      <c r="D7" s="150" t="s">
        <v>1889</v>
      </c>
    </row>
    <row r="8" spans="1:4" ht="76.5">
      <c r="A8" s="247"/>
      <c r="B8" s="211" t="s">
        <v>1926</v>
      </c>
      <c r="C8" s="150" t="s">
        <v>1890</v>
      </c>
      <c r="D8" s="213" t="s">
        <v>2786</v>
      </c>
    </row>
    <row r="9" spans="1:4" ht="76.5">
      <c r="A9" s="245" t="s">
        <v>209</v>
      </c>
      <c r="B9" s="261" t="s">
        <v>1609</v>
      </c>
      <c r="C9" s="150" t="s">
        <v>1891</v>
      </c>
      <c r="D9" s="213" t="s">
        <v>2787</v>
      </c>
    </row>
    <row r="10" spans="1:4" ht="38.25">
      <c r="A10" s="246"/>
      <c r="B10" s="261"/>
      <c r="C10" s="150" t="s">
        <v>1892</v>
      </c>
      <c r="D10" s="150" t="s">
        <v>1893</v>
      </c>
    </row>
    <row r="11" spans="1:4" ht="25.5">
      <c r="A11" s="246"/>
      <c r="B11" s="261"/>
      <c r="C11" s="150" t="s">
        <v>1927</v>
      </c>
      <c r="D11" s="150" t="s">
        <v>1929</v>
      </c>
    </row>
    <row r="12" spans="1:4" ht="38.25">
      <c r="A12" s="247"/>
      <c r="B12" s="212" t="s">
        <v>1613</v>
      </c>
      <c r="C12" s="193" t="s">
        <v>1928</v>
      </c>
      <c r="D12" s="213" t="s">
        <v>2788</v>
      </c>
    </row>
    <row r="13" spans="1:4">
      <c r="A13" s="260" t="s">
        <v>3</v>
      </c>
      <c r="B13" s="260"/>
      <c r="C13" s="260"/>
      <c r="D13" s="260"/>
    </row>
    <row r="14" spans="1:4" ht="255">
      <c r="A14" s="245" t="s">
        <v>1878</v>
      </c>
      <c r="B14" s="211" t="s">
        <v>1610</v>
      </c>
      <c r="C14" s="150" t="s">
        <v>2660</v>
      </c>
      <c r="D14" s="213" t="s">
        <v>2789</v>
      </c>
    </row>
    <row r="15" spans="1:4" ht="102">
      <c r="A15" s="247"/>
      <c r="B15" s="211" t="s">
        <v>1614</v>
      </c>
      <c r="C15" s="150" t="s">
        <v>2666</v>
      </c>
      <c r="D15" s="213" t="s">
        <v>2790</v>
      </c>
    </row>
    <row r="16" spans="1:4" ht="89.25">
      <c r="A16" s="246" t="s">
        <v>1615</v>
      </c>
      <c r="B16" s="259" t="s">
        <v>1619</v>
      </c>
      <c r="C16" s="150" t="s">
        <v>2791</v>
      </c>
      <c r="D16" s="213" t="s">
        <v>2792</v>
      </c>
    </row>
    <row r="17" spans="1:6" ht="165.75">
      <c r="A17" s="246"/>
      <c r="B17" s="259"/>
      <c r="C17" s="150" t="s">
        <v>1894</v>
      </c>
      <c r="D17" s="213" t="s">
        <v>2793</v>
      </c>
    </row>
    <row r="18" spans="1:6" ht="25.5">
      <c r="A18" s="246"/>
      <c r="B18" s="259"/>
      <c r="C18" s="150" t="s">
        <v>1895</v>
      </c>
      <c r="D18" s="150" t="s">
        <v>1896</v>
      </c>
    </row>
    <row r="19" spans="1:6" ht="25.5" customHeight="1">
      <c r="A19" s="246"/>
      <c r="B19" s="245" t="s">
        <v>2680</v>
      </c>
      <c r="C19" s="150" t="s">
        <v>1897</v>
      </c>
      <c r="D19" s="150" t="s">
        <v>1898</v>
      </c>
      <c r="E19" s="214"/>
      <c r="F19" s="3" t="s">
        <v>2794</v>
      </c>
    </row>
    <row r="20" spans="1:6" ht="25.5">
      <c r="A20" s="247"/>
      <c r="B20" s="247"/>
      <c r="C20" s="151" t="s">
        <v>1932</v>
      </c>
      <c r="D20" s="151" t="s">
        <v>1931</v>
      </c>
    </row>
    <row r="21" spans="1:6" ht="89.25">
      <c r="A21" s="245" t="s">
        <v>214</v>
      </c>
      <c r="B21" s="211" t="s">
        <v>1611</v>
      </c>
      <c r="C21" s="150" t="s">
        <v>1899</v>
      </c>
      <c r="D21" s="150" t="s">
        <v>2667</v>
      </c>
    </row>
    <row r="22" spans="1:6" ht="76.5">
      <c r="A22" s="246"/>
      <c r="B22" s="211" t="s">
        <v>1934</v>
      </c>
      <c r="C22" s="150" t="s">
        <v>1900</v>
      </c>
      <c r="D22" s="150" t="s">
        <v>1901</v>
      </c>
    </row>
    <row r="23" spans="1:6" ht="76.5">
      <c r="A23" s="259" t="s">
        <v>2668</v>
      </c>
      <c r="B23" s="211" t="s">
        <v>207</v>
      </c>
      <c r="C23" s="150" t="s">
        <v>1902</v>
      </c>
      <c r="D23" s="150" t="s">
        <v>2681</v>
      </c>
    </row>
    <row r="24" spans="1:6" ht="25.5">
      <c r="A24" s="259"/>
      <c r="B24" s="245" t="s">
        <v>1935</v>
      </c>
      <c r="C24" s="151" t="s">
        <v>1903</v>
      </c>
      <c r="D24" s="150" t="s">
        <v>2686</v>
      </c>
    </row>
    <row r="25" spans="1:6" ht="38.25">
      <c r="A25" s="259"/>
      <c r="B25" s="247"/>
      <c r="C25" s="150" t="s">
        <v>1904</v>
      </c>
      <c r="D25" s="150" t="s">
        <v>1905</v>
      </c>
    </row>
    <row r="26" spans="1:6" ht="89.25">
      <c r="A26" s="259"/>
      <c r="B26" s="211" t="s">
        <v>1936</v>
      </c>
      <c r="C26" s="150" t="s">
        <v>1906</v>
      </c>
      <c r="D26" s="150" t="s">
        <v>1907</v>
      </c>
    </row>
    <row r="27" spans="1:6">
      <c r="A27" s="248" t="s">
        <v>1608</v>
      </c>
      <c r="B27" s="249"/>
      <c r="C27" s="249"/>
      <c r="D27" s="250"/>
    </row>
    <row r="28" spans="1:6" ht="140.25">
      <c r="A28" s="254" t="s">
        <v>2795</v>
      </c>
      <c r="B28" s="245" t="s">
        <v>2776</v>
      </c>
      <c r="C28" s="150" t="s">
        <v>2669</v>
      </c>
      <c r="D28" s="150" t="s">
        <v>2473</v>
      </c>
    </row>
    <row r="29" spans="1:6" ht="114.75">
      <c r="A29" s="255"/>
      <c r="B29" s="247"/>
      <c r="C29" s="150" t="s">
        <v>2670</v>
      </c>
      <c r="D29" s="150" t="s">
        <v>2671</v>
      </c>
    </row>
    <row r="30" spans="1:6" ht="51">
      <c r="A30" s="255"/>
      <c r="B30" s="245" t="s">
        <v>2766</v>
      </c>
      <c r="C30" s="150" t="s">
        <v>1908</v>
      </c>
      <c r="D30" s="150" t="s">
        <v>2672</v>
      </c>
    </row>
    <row r="31" spans="1:6" ht="114.75">
      <c r="A31" s="255"/>
      <c r="B31" s="247"/>
      <c r="C31" s="150" t="s">
        <v>1909</v>
      </c>
      <c r="D31" s="215" t="s">
        <v>2796</v>
      </c>
    </row>
    <row r="32" spans="1:6" ht="63.75">
      <c r="A32" s="255"/>
      <c r="B32" s="211" t="s">
        <v>1938</v>
      </c>
      <c r="C32" s="150" t="s">
        <v>2767</v>
      </c>
      <c r="D32" s="150" t="s">
        <v>2673</v>
      </c>
    </row>
    <row r="33" spans="1:6" ht="102">
      <c r="A33" s="256"/>
      <c r="B33" s="211" t="s">
        <v>1939</v>
      </c>
      <c r="C33" s="150" t="s">
        <v>1910</v>
      </c>
      <c r="D33" s="150" t="s">
        <v>2674</v>
      </c>
      <c r="E33" s="214"/>
      <c r="F33" t="s">
        <v>2797</v>
      </c>
    </row>
    <row r="34" spans="1:6" ht="114.75">
      <c r="A34" s="257" t="s">
        <v>1881</v>
      </c>
      <c r="B34" s="259" t="s">
        <v>1941</v>
      </c>
      <c r="C34" s="150" t="s">
        <v>1911</v>
      </c>
      <c r="D34" s="150" t="s">
        <v>2675</v>
      </c>
    </row>
    <row r="35" spans="1:6" ht="38.25">
      <c r="A35" s="258"/>
      <c r="B35" s="259"/>
      <c r="C35" s="150" t="s">
        <v>1942</v>
      </c>
      <c r="D35" s="150" t="s">
        <v>2702</v>
      </c>
    </row>
    <row r="36" spans="1:6" ht="63.75">
      <c r="A36" s="258"/>
      <c r="B36" s="211" t="s">
        <v>1944</v>
      </c>
      <c r="C36" s="150" t="s">
        <v>1943</v>
      </c>
      <c r="D36" s="150" t="s">
        <v>2676</v>
      </c>
    </row>
    <row r="37" spans="1:6" ht="229.5">
      <c r="A37" s="258"/>
      <c r="B37" s="196" t="s">
        <v>2704</v>
      </c>
      <c r="C37" s="194" t="s">
        <v>2768</v>
      </c>
      <c r="D37" s="194" t="s">
        <v>2769</v>
      </c>
    </row>
    <row r="38" spans="1:6">
      <c r="A38" s="245" t="s">
        <v>210</v>
      </c>
      <c r="B38" s="245" t="s">
        <v>1612</v>
      </c>
      <c r="C38" s="150" t="s">
        <v>1912</v>
      </c>
      <c r="D38" s="150" t="s">
        <v>2677</v>
      </c>
    </row>
    <row r="39" spans="1:6" ht="114.75">
      <c r="A39" s="246"/>
      <c r="B39" s="247"/>
      <c r="C39" s="150" t="s">
        <v>2678</v>
      </c>
      <c r="D39" s="150" t="s">
        <v>2679</v>
      </c>
    </row>
    <row r="40" spans="1:6">
      <c r="A40" s="248" t="s">
        <v>4</v>
      </c>
      <c r="B40" s="249"/>
      <c r="C40" s="249"/>
      <c r="D40" s="250"/>
    </row>
    <row r="41" spans="1:6" ht="25.5">
      <c r="A41" s="251"/>
      <c r="B41" s="208"/>
      <c r="C41" s="150" t="s">
        <v>1913</v>
      </c>
      <c r="D41" s="245" t="s">
        <v>1914</v>
      </c>
    </row>
    <row r="42" spans="1:6">
      <c r="A42" s="252"/>
      <c r="B42" s="209"/>
      <c r="C42" s="150" t="s">
        <v>1915</v>
      </c>
      <c r="D42" s="246"/>
    </row>
    <row r="43" spans="1:6">
      <c r="A43" s="252"/>
      <c r="B43" s="209"/>
      <c r="C43" s="150" t="s">
        <v>1916</v>
      </c>
      <c r="D43" s="246"/>
    </row>
    <row r="44" spans="1:6" ht="25.5">
      <c r="A44" s="252"/>
      <c r="B44" s="209"/>
      <c r="C44" s="150" t="s">
        <v>1917</v>
      </c>
      <c r="D44" s="246"/>
    </row>
    <row r="45" spans="1:6" ht="25.5">
      <c r="A45" s="252"/>
      <c r="B45" s="209"/>
      <c r="C45" s="150" t="s">
        <v>1918</v>
      </c>
      <c r="D45" s="246"/>
    </row>
    <row r="46" spans="1:6">
      <c r="A46" s="252"/>
      <c r="B46" s="209"/>
      <c r="C46" s="150" t="s">
        <v>1919</v>
      </c>
      <c r="D46" s="246"/>
    </row>
    <row r="47" spans="1:6" ht="25.5">
      <c r="A47" s="252"/>
      <c r="B47" s="209"/>
      <c r="C47" s="150" t="s">
        <v>1920</v>
      </c>
      <c r="D47" s="246"/>
    </row>
    <row r="48" spans="1:6" ht="25.5">
      <c r="A48" s="252"/>
      <c r="B48" s="209"/>
      <c r="C48" s="150" t="s">
        <v>1921</v>
      </c>
      <c r="D48" s="246"/>
    </row>
    <row r="49" spans="1:4">
      <c r="A49" s="252"/>
      <c r="B49" s="209"/>
      <c r="C49" s="150" t="s">
        <v>1922</v>
      </c>
      <c r="D49" s="246"/>
    </row>
    <row r="50" spans="1:4" ht="25.5">
      <c r="A50" s="252"/>
      <c r="B50" s="209"/>
      <c r="C50" s="150" t="s">
        <v>1923</v>
      </c>
      <c r="D50" s="246"/>
    </row>
    <row r="51" spans="1:4" ht="25.5">
      <c r="A51" s="253"/>
      <c r="B51" s="210"/>
      <c r="C51" s="150" t="s">
        <v>1924</v>
      </c>
      <c r="D51" s="247"/>
    </row>
  </sheetData>
  <mergeCells count="24">
    <mergeCell ref="A23:A26"/>
    <mergeCell ref="B24:B25"/>
    <mergeCell ref="A2:D2"/>
    <mergeCell ref="A3:A8"/>
    <mergeCell ref="B3:B7"/>
    <mergeCell ref="A9:A12"/>
    <mergeCell ref="B9:B11"/>
    <mergeCell ref="A13:D13"/>
    <mergeCell ref="A14:A15"/>
    <mergeCell ref="A16:A20"/>
    <mergeCell ref="B16:B18"/>
    <mergeCell ref="B19:B20"/>
    <mergeCell ref="A21:A22"/>
    <mergeCell ref="A27:D27"/>
    <mergeCell ref="A28:A33"/>
    <mergeCell ref="B28:B29"/>
    <mergeCell ref="B30:B31"/>
    <mergeCell ref="A34:A37"/>
    <mergeCell ref="B34:B35"/>
    <mergeCell ref="A38:A39"/>
    <mergeCell ref="B38:B39"/>
    <mergeCell ref="A40:D40"/>
    <mergeCell ref="A41:A51"/>
    <mergeCell ref="D41:D51"/>
  </mergeCell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116</vt:i4>
      </vt:variant>
    </vt:vector>
  </HeadingPairs>
  <TitlesOfParts>
    <vt:vector size="122" baseType="lpstr">
      <vt:lpstr>Scorecard</vt:lpstr>
      <vt:lpstr>Database</vt:lpstr>
      <vt:lpstr>List</vt:lpstr>
      <vt:lpstr>EMAIL</vt:lpstr>
      <vt:lpstr>Pegsheet</vt:lpstr>
      <vt:lpstr>Definitions Document</vt:lpstr>
      <vt:lpstr>AccessC1</vt:lpstr>
      <vt:lpstr>AccessCode</vt:lpstr>
      <vt:lpstr>AccountInformation</vt:lpstr>
      <vt:lpstr>AccountS1</vt:lpstr>
      <vt:lpstr>Activity</vt:lpstr>
      <vt:lpstr>AddPlug</vt:lpstr>
      <vt:lpstr>AgentName</vt:lpstr>
      <vt:lpstr>AgentProfile</vt:lpstr>
      <vt:lpstr>ANI</vt:lpstr>
      <vt:lpstr>Assignments</vt:lpstr>
      <vt:lpstr>BrowserOS</vt:lpstr>
      <vt:lpstr>CaseNumber</vt:lpstr>
      <vt:lpstr>Category</vt:lpstr>
      <vt:lpstr>Category1</vt:lpstr>
      <vt:lpstr>Category2</vt:lpstr>
      <vt:lpstr>Classification</vt:lpstr>
      <vt:lpstr>ClientProcess1</vt:lpstr>
      <vt:lpstr>ClientProcess2</vt:lpstr>
      <vt:lpstr>ContentErrors</vt:lpstr>
      <vt:lpstr>CourseManagement</vt:lpstr>
      <vt:lpstr>CourseTools</vt:lpstr>
      <vt:lpstr>CSATForecast</vt:lpstr>
      <vt:lpstr>CustomerProfile</vt:lpstr>
      <vt:lpstr>Discourse1</vt:lpstr>
      <vt:lpstr>Discourse2</vt:lpstr>
      <vt:lpstr>Discourse3</vt:lpstr>
      <vt:lpstr>Discourse4</vt:lpstr>
      <vt:lpstr>DiscourseMain</vt:lpstr>
      <vt:lpstr>Duration</vt:lpstr>
      <vt:lpstr>Easy1</vt:lpstr>
      <vt:lpstr>Easy2</vt:lpstr>
      <vt:lpstr>Easy3</vt:lpstr>
      <vt:lpstr>EasyMain</vt:lpstr>
      <vt:lpstr>Educ1</vt:lpstr>
      <vt:lpstr>Educ2</vt:lpstr>
      <vt:lpstr>EducMain</vt:lpstr>
      <vt:lpstr>EmployeeNum</vt:lpstr>
      <vt:lpstr>EnrollCourse</vt:lpstr>
      <vt:lpstr>Eval</vt:lpstr>
      <vt:lpstr>EvalDate</vt:lpstr>
      <vt:lpstr>FCRProjection</vt:lpstr>
      <vt:lpstr>FirstSup</vt:lpstr>
      <vt:lpstr>Fluency1</vt:lpstr>
      <vt:lpstr>Fluency2</vt:lpstr>
      <vt:lpstr>Fluency3</vt:lpstr>
      <vt:lpstr>FluencyMain</vt:lpstr>
      <vt:lpstr>Gradebook</vt:lpstr>
      <vt:lpstr>HigherEd</vt:lpstr>
      <vt:lpstr>Integ1</vt:lpstr>
      <vt:lpstr>Integ2</vt:lpstr>
      <vt:lpstr>Integrity</vt:lpstr>
      <vt:lpstr>InternalEscal</vt:lpstr>
      <vt:lpstr>InternalTools</vt:lpstr>
      <vt:lpstr>LearningStudio</vt:lpstr>
      <vt:lpstr>Listen1</vt:lpstr>
      <vt:lpstr>Listen2</vt:lpstr>
      <vt:lpstr>ListenMain</vt:lpstr>
      <vt:lpstr>Maturity</vt:lpstr>
      <vt:lpstr>Month</vt:lpstr>
      <vt:lpstr>MultipleContact</vt:lpstr>
      <vt:lpstr>MultipleContact1</vt:lpstr>
      <vt:lpstr>MultipleContact2</vt:lpstr>
      <vt:lpstr>MultipleContact3</vt:lpstr>
      <vt:lpstr>OnlinePurchase</vt:lpstr>
      <vt:lpstr>Platform</vt:lpstr>
      <vt:lpstr>Scorecard!Print_Area</vt:lpstr>
      <vt:lpstr>Probing1</vt:lpstr>
      <vt:lpstr>Probing2</vt:lpstr>
      <vt:lpstr>ProbingMain</vt:lpstr>
      <vt:lpstr>Profile</vt:lpstr>
      <vt:lpstr>Purchase3rdParty</vt:lpstr>
      <vt:lpstr>Quarter</vt:lpstr>
      <vt:lpstr>RandomCountPress</vt:lpstr>
      <vt:lpstr>Referrals</vt:lpstr>
      <vt:lpstr>ReplaceCode</vt:lpstr>
      <vt:lpstr>Reso1</vt:lpstr>
      <vt:lpstr>Reso2</vt:lpstr>
      <vt:lpstr>Resolution</vt:lpstr>
      <vt:lpstr>Resolution1</vt:lpstr>
      <vt:lpstr>Resolution2</vt:lpstr>
      <vt:lpstr>ResoMain</vt:lpstr>
      <vt:lpstr>SamplingL1</vt:lpstr>
      <vt:lpstr>SamplingL2</vt:lpstr>
      <vt:lpstr>SchoolProd</vt:lpstr>
      <vt:lpstr>Score_CCEff</vt:lpstr>
      <vt:lpstr>Score_CEx</vt:lpstr>
      <vt:lpstr>Score_EffReso</vt:lpstr>
      <vt:lpstr>Score_Process</vt:lpstr>
      <vt:lpstr>Score_Sub_CCEff1</vt:lpstr>
      <vt:lpstr>Score_Sub_CCEff2</vt:lpstr>
      <vt:lpstr>Score_Sub_CCEff3</vt:lpstr>
      <vt:lpstr>Score_Sub_CCEff4</vt:lpstr>
      <vt:lpstr>Score_Sub_CCEff5</vt:lpstr>
      <vt:lpstr>Score_Sub_CEx1</vt:lpstr>
      <vt:lpstr>Score_Sub_CEx2</vt:lpstr>
      <vt:lpstr>Score_Sub_EffReso1</vt:lpstr>
      <vt:lpstr>Score_Sub_EffReso2</vt:lpstr>
      <vt:lpstr>Score_Total</vt:lpstr>
      <vt:lpstr>SecondSup</vt:lpstr>
      <vt:lpstr>SignInPasswordIssues</vt:lpstr>
      <vt:lpstr>SupportType</vt:lpstr>
      <vt:lpstr>TemporaryAccess</vt:lpstr>
      <vt:lpstr>Tenurity</vt:lpstr>
      <vt:lpstr>Time1</vt:lpstr>
      <vt:lpstr>Time2</vt:lpstr>
      <vt:lpstr>TimeMain</vt:lpstr>
      <vt:lpstr>Timer</vt:lpstr>
      <vt:lpstr>ToClear</vt:lpstr>
      <vt:lpstr>Training</vt:lpstr>
      <vt:lpstr>TransactionType</vt:lpstr>
      <vt:lpstr>TransferredCC1</vt:lpstr>
      <vt:lpstr>TransferredCC2</vt:lpstr>
      <vt:lpstr>WaveName</vt:lpstr>
      <vt:lpstr>Willingness1</vt:lpstr>
      <vt:lpstr>WillingnessMain</vt:lpstr>
      <vt:lpstr>WorkWeek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Marcus Morante</dc:creator>
  <cp:lastModifiedBy>Marcus Morante</cp:lastModifiedBy>
  <cp:lastPrinted>2017-01-25T13:34:52Z</cp:lastPrinted>
  <dcterms:created xsi:type="dcterms:W3CDTF">2016-12-05T18:38:47Z</dcterms:created>
  <dcterms:modified xsi:type="dcterms:W3CDTF">2024-03-10T21:04:57Z</dcterms:modified>
</cp:coreProperties>
</file>